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y.bhattacharjee\Pictures\CSF COMPARISON\New folder\"/>
    </mc:Choice>
  </mc:AlternateContent>
  <xr:revisionPtr revIDLastSave="0" documentId="13_ncr:1_{FE4CF269-7243-451E-81C2-DB7988D05740}" xr6:coauthVersionLast="47" xr6:coauthVersionMax="47" xr10:uidLastSave="{00000000-0000-0000-0000-000000000000}"/>
  <bookViews>
    <workbookView xWindow="-110" yWindow="-110" windowWidth="19420" windowHeight="10300" firstSheet="2" activeTab="5" xr2:uid="{525D80CA-7746-42D4-BB61-B256E32A69E8}"/>
  </bookViews>
  <sheets>
    <sheet name="COMPARISON TOOL" sheetId="1" r:id="rId1"/>
    <sheet name="SUMMARY SHEET" sheetId="2" r:id="rId2"/>
    <sheet name="EPS EXTRACT" sheetId="3" r:id="rId3"/>
    <sheet name="DTVCOMP EXTRACT" sheetId="4" r:id="rId4"/>
    <sheet name="COMPARISON HIGH LEVEL" sheetId="5" r:id="rId5"/>
    <sheet name="DATA FETCH QUERY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</calcChain>
</file>

<file path=xl/sharedStrings.xml><?xml version="1.0" encoding="utf-8"?>
<sst xmlns="http://schemas.openxmlformats.org/spreadsheetml/2006/main" count="430" uniqueCount="278">
  <si>
    <t>CATEGORY</t>
  </si>
  <si>
    <t>APRIL 2023 MONTH CSF COMPARISON</t>
  </si>
  <si>
    <t>TOTAL CREDIT VALUE - EPS</t>
  </si>
  <si>
    <t>TOTAL CREDIT VALUE - DTVCOMP</t>
  </si>
  <si>
    <t>VARIENCE</t>
  </si>
  <si>
    <t>1st APR To 10th APR 2023 MONTH CSF COMPARISON</t>
  </si>
  <si>
    <t>EPS TRX COUNT</t>
  </si>
  <si>
    <t>DTVCOMP TRX COUNT</t>
  </si>
  <si>
    <t>`</t>
  </si>
  <si>
    <t>TOTAL TRX VALUE - EPS</t>
  </si>
  <si>
    <t>TOTAL TRX VALUE - DTVCOMP</t>
  </si>
  <si>
    <t>DTVCOMP QUERY</t>
  </si>
  <si>
    <t>EPS QUERY</t>
  </si>
  <si>
    <t>Select DISTINCT so.ORDERID, st.LINENUMBER, st.SUBLINENUMBER, st.GENERICNUMBER2 "BILL NUMBER", st.VALUE "TRX VALUE", st.GENERICATTRIBUTE6 "BAN NUMBER", st.PAYMENTTERMS, st.GENERICATTRIBUTE2 "PROPERTY ID", cr.VALUE "CREDIT VALUE",
st.GENERICATTRIBUTE8 "ACCOUNT TYPE", cr.*, st.*
from CS_SALESORDER so, CS_SALESTRANSACTION st, CS_EVENTTYPE ev,CS_CREDIT cr,CS_CREDITTYPE crt
WHERE so.SALESORDERSEQ=st.SALESORDERSEQ AND so.SALESORDERSEQ=cr.SALESORDERSEQ AND st.SALESTRANSACTIONSEQ=cr.SALESTRANSACTIONSEQ AND ev.REMOVEDATE=TO_DATE('01-JAN-2200','DD-MON-YYYY') AND st.EVENTTYPESEQ=ev.DATATYPESEQ
AND crt.REMOVEDATE=TO_DATE('01-JAN-2200','DD-MON-YYYY') AND cr.CREDITTYPESEQ=crt.DATATYPESEQ AND st.GENERICDATE6 BETWEEN TO_DATE('01-APR-2023','DD-MON-YYYY') AND TO_DATE('10-APR-2023','DD-MON-YYYY')
AND ev.EVENTTYPEID LIKE '%MDU CSF%';</t>
  </si>
  <si>
    <t>CSF COMPARISON TOOL</t>
  </si>
  <si>
    <t>START TIME</t>
  </si>
  <si>
    <t>END TIME</t>
  </si>
  <si>
    <t>ORDERID</t>
  </si>
  <si>
    <t>LINENUMBER</t>
  </si>
  <si>
    <t>SUBLINENUMBER</t>
  </si>
  <si>
    <t>BILL NUMBER</t>
  </si>
  <si>
    <t>TRX VALUE</t>
  </si>
  <si>
    <t>BAN NUMBER</t>
  </si>
  <si>
    <t>PAYMENTTERMS</t>
  </si>
  <si>
    <t>PROPERTY ID</t>
  </si>
  <si>
    <t>CREDIT VALUE</t>
  </si>
  <si>
    <t>ACC NUMBER</t>
  </si>
  <si>
    <t>CREDITSEQ</t>
  </si>
  <si>
    <t>PAYEESEQ</t>
  </si>
  <si>
    <t>POSITIONSEQ</t>
  </si>
  <si>
    <t>SALESORDERSEQ</t>
  </si>
  <si>
    <t>SALESTRANSACTIONSEQ</t>
  </si>
  <si>
    <t>PERIODSEQ</t>
  </si>
  <si>
    <t>CREDITTYPESEQ</t>
  </si>
  <si>
    <t>NAME</t>
  </si>
  <si>
    <t>PIPELINERUNSEQ</t>
  </si>
  <si>
    <t>ORIGINTYPEID</t>
  </si>
  <si>
    <t>COMPENSATIONDATE</t>
  </si>
  <si>
    <t>PIPELINERUNDATE</t>
  </si>
  <si>
    <t>BUSINESSUNITMAP</t>
  </si>
  <si>
    <t>PREADJUSTEDVALUE</t>
  </si>
  <si>
    <t>UNITTYPEFORPREADJUSTEDVALUE</t>
  </si>
  <si>
    <t>VALUE</t>
  </si>
  <si>
    <t>UNITTYPEFORVALUE</t>
  </si>
  <si>
    <t>RELEASEDATE</t>
  </si>
  <si>
    <t>RULESEQ</t>
  </si>
  <si>
    <t>ISHELD</t>
  </si>
  <si>
    <t>ISROLLABLE</t>
  </si>
  <si>
    <t>ROLLDATE</t>
  </si>
  <si>
    <t>REASONSEQ</t>
  </si>
  <si>
    <t>COMMENTS</t>
  </si>
  <si>
    <t>GENERICATTRIBUTE1</t>
  </si>
  <si>
    <t>GENERICATTRIBUTE2</t>
  </si>
  <si>
    <t>GENERICATTRIBUTE3</t>
  </si>
  <si>
    <t>GENERICATTRIBUTE4</t>
  </si>
  <si>
    <t>GENERICATTRIBUTE5</t>
  </si>
  <si>
    <t>GENERICATTRIBUTE6</t>
  </si>
  <si>
    <t>GENERICATTRIBUTE7</t>
  </si>
  <si>
    <t>GENERICATTRIBUTE8</t>
  </si>
  <si>
    <t>GENERICATTRIBUTE9</t>
  </si>
  <si>
    <t>GENERICATTRIBUTE10</t>
  </si>
  <si>
    <t>GENERICATTRIBUTE11</t>
  </si>
  <si>
    <t>GENERICATTRIBUTE12</t>
  </si>
  <si>
    <t>GENERICATTRIBUTE13</t>
  </si>
  <si>
    <t>GENERICATTRIBUTE14</t>
  </si>
  <si>
    <t>GENERICATTRIBUTE15</t>
  </si>
  <si>
    <t>GENERICATTRIBUTE16</t>
  </si>
  <si>
    <t>GENERICNUMBER1</t>
  </si>
  <si>
    <t>UNITTYPEFORGENERICNUMBER1</t>
  </si>
  <si>
    <t>GENERICNUMBER2</t>
  </si>
  <si>
    <t>UNITTYPEFORGENERICNUMBER2</t>
  </si>
  <si>
    <t>GENERICNUMBER3</t>
  </si>
  <si>
    <t>UNITTYPEFORGENERICNUMBER3</t>
  </si>
  <si>
    <t>GENERICNUMBER4</t>
  </si>
  <si>
    <t>UNITTYPEFORGENERICNUMBER4</t>
  </si>
  <si>
    <t>GENERICNUMBER5</t>
  </si>
  <si>
    <t>UNITTYPEFORGENERICNUMBER5</t>
  </si>
  <si>
    <t>GENERICNUMBER6</t>
  </si>
  <si>
    <t>UNITTYPEFORGENERICNUMBER6</t>
  </si>
  <si>
    <t>GENERICDATE1</t>
  </si>
  <si>
    <t>GENERICDATE2</t>
  </si>
  <si>
    <t>GENERICDATE3</t>
  </si>
  <si>
    <t>GENERICDATE4</t>
  </si>
  <si>
    <t>GENERICDATE5</t>
  </si>
  <si>
    <t>GENERICDATE6</t>
  </si>
  <si>
    <t>GENERICBOOLEAN1</t>
  </si>
  <si>
    <t>GENERICBOOLEAN2</t>
  </si>
  <si>
    <t>GENERICBOOLEAN3</t>
  </si>
  <si>
    <t>GENERICBOOLEAN4</t>
  </si>
  <si>
    <t>GENERICBOOLEAN5</t>
  </si>
  <si>
    <t>GENERICBOOLEAN6</t>
  </si>
  <si>
    <t>PROCESSINGUNITSEQ</t>
  </si>
  <si>
    <t>SALESTRANSACTIONSEQ_1</t>
  </si>
  <si>
    <t>SALESORDERSEQ_1</t>
  </si>
  <si>
    <t>LINENUMBER_1</t>
  </si>
  <si>
    <t>SUBLINENUMBER_1</t>
  </si>
  <si>
    <t>EVENTTYPESEQ</t>
  </si>
  <si>
    <t>PIPELINERUNSEQ_1</t>
  </si>
  <si>
    <t>ORIGINTYPEID_1</t>
  </si>
  <si>
    <t>COMPENSATIONDATE_1</t>
  </si>
  <si>
    <t>BILLTOADDRESSSEQ</t>
  </si>
  <si>
    <t>SHIPTOADDRESSSEQ</t>
  </si>
  <si>
    <t>OTHERTOADDRESSSEQ</t>
  </si>
  <si>
    <t>ISRUNNABLE</t>
  </si>
  <si>
    <t>BUSINESSUNITMAP_1</t>
  </si>
  <si>
    <t>ACCOUNTINGDATE</t>
  </si>
  <si>
    <t>PRODUCTID</t>
  </si>
  <si>
    <t>PRODUCTNAME</t>
  </si>
  <si>
    <t>PRODUCTDESCRIPTION</t>
  </si>
  <si>
    <t>NUMBEROFUNITS</t>
  </si>
  <si>
    <t>UNITVALUE</t>
  </si>
  <si>
    <t>UNITTYPEFORUNITVALUE</t>
  </si>
  <si>
    <t>PREADJUSTEDVALUE_1</t>
  </si>
  <si>
    <t>UNITTYPEFORPREADJUSTEDVALUE_1</t>
  </si>
  <si>
    <t>VALUE_1</t>
  </si>
  <si>
    <t>UNITTYPEFORVALUE_1</t>
  </si>
  <si>
    <t>NATIVECURRENCY</t>
  </si>
  <si>
    <t>NATIVECURRENCYAMOUNT</t>
  </si>
  <si>
    <t>DISCOUNTPERCENT</t>
  </si>
  <si>
    <t>DISCOUNTTYPE</t>
  </si>
  <si>
    <t>PAYMENTTERMS_1</t>
  </si>
  <si>
    <t>PONUMBER</t>
  </si>
  <si>
    <t>CHANNEL</t>
  </si>
  <si>
    <t>ALTERNATEORDERNUMBER</t>
  </si>
  <si>
    <t>DATASOURCE</t>
  </si>
  <si>
    <t>REASONSEQ_1</t>
  </si>
  <si>
    <t>COMMENTS_1</t>
  </si>
  <si>
    <t>GENERICATTRIBUTE1_1</t>
  </si>
  <si>
    <t>GENERICATTRIBUTE2_1</t>
  </si>
  <si>
    <t>GENERICATTRIBUTE3_1</t>
  </si>
  <si>
    <t>GENERICATTRIBUTE4_1</t>
  </si>
  <si>
    <t>GENERICATTRIBUTE5_1</t>
  </si>
  <si>
    <t>GENERICATTRIBUTE6_1</t>
  </si>
  <si>
    <t>GENERICATTRIBUTE7_1</t>
  </si>
  <si>
    <t>GENERICATTRIBUTE8_1</t>
  </si>
  <si>
    <t>GENERICATTRIBUTE9_1</t>
  </si>
  <si>
    <t>GENERICATTRIBUTE10_1</t>
  </si>
  <si>
    <t>GENERICATTRIBUTE11_1</t>
  </si>
  <si>
    <t>GENERICATTRIBUTE12_1</t>
  </si>
  <si>
    <t>GENERICATTRIBUTE13_1</t>
  </si>
  <si>
    <t>GENERICATTRIBUTE14_1</t>
  </si>
  <si>
    <t>GENERICATTRIBUTE15_1</t>
  </si>
  <si>
    <t>GENERICATTRIBUTE16_1</t>
  </si>
  <si>
    <t>GENERICATTRIBUTE17</t>
  </si>
  <si>
    <t>GENERICATTRIBUTE18</t>
  </si>
  <si>
    <t>GENERICATTRIBUTE19</t>
  </si>
  <si>
    <t>GENERICATTRIBUTE20</t>
  </si>
  <si>
    <t>GENERICATTRIBUTE21</t>
  </si>
  <si>
    <t>GENERICATTRIBUTE22</t>
  </si>
  <si>
    <t>GENERICATTRIBUTE23</t>
  </si>
  <si>
    <t>GENERICATTRIBUTE24</t>
  </si>
  <si>
    <t>GENERICATTRIBUTE25</t>
  </si>
  <si>
    <t>GENERICATTRIBUTE26</t>
  </si>
  <si>
    <t>GENERICATTRIBUTE27</t>
  </si>
  <si>
    <t>GENERICATTRIBUTE28</t>
  </si>
  <si>
    <t>GENERICATTRIBUTE29</t>
  </si>
  <si>
    <t>GENERICATTRIBUTE30</t>
  </si>
  <si>
    <t>GENERICATTRIBUTE31</t>
  </si>
  <si>
    <t>GENERICATTRIBUTE32</t>
  </si>
  <si>
    <t>GENERICNUMBER1_1</t>
  </si>
  <si>
    <t>UNITTYPEFORGENERICNUMBER1_1</t>
  </si>
  <si>
    <t>GENERICNUMBER2_1</t>
  </si>
  <si>
    <t>UNITTYPEFORGENERICNUMBER2_1</t>
  </si>
  <si>
    <t>GENERICNUMBER3_1</t>
  </si>
  <si>
    <t>UNITTYPEFORGENERICNUMBER3_1</t>
  </si>
  <si>
    <t>GENERICNUMBER4_1</t>
  </si>
  <si>
    <t>UNITTYPEFORGENERICNUMBER4_1</t>
  </si>
  <si>
    <t>GENERICNUMBER5_1</t>
  </si>
  <si>
    <t>UNITTYPEFORGENERICNUMBER5_1</t>
  </si>
  <si>
    <t>GENERICNUMBER6_1</t>
  </si>
  <si>
    <t>UNITTYPEFORGENERICNUMBER6_1</t>
  </si>
  <si>
    <t>GENERICDATE1_1</t>
  </si>
  <si>
    <t>GENERICDATE2_1</t>
  </si>
  <si>
    <t>GENERICDATE3_1</t>
  </si>
  <si>
    <t>GENERICDATE4_1</t>
  </si>
  <si>
    <t>GENERICDATE5_1</t>
  </si>
  <si>
    <t>GENERICDATE6_1</t>
  </si>
  <si>
    <t>GENERICBOOLEAN1_1</t>
  </si>
  <si>
    <t>GENERICBOOLEAN2_1</t>
  </si>
  <si>
    <t>GENERICBOOLEAN3_1</t>
  </si>
  <si>
    <t>GENERICBOOLEAN4_1</t>
  </si>
  <si>
    <t>GENERICBOOLEAN5_1</t>
  </si>
  <si>
    <t>GENERICBOOLEAN6_1</t>
  </si>
  <si>
    <t>PROCESSINGUNITSEQ_1</t>
  </si>
  <si>
    <t>MODIFICATIONDATE</t>
  </si>
  <si>
    <t>UNITTYPEFORLINENUMBER</t>
  </si>
  <si>
    <t>UNITTYPEFORSUBLINENUMBER</t>
  </si>
  <si>
    <t>UNITTYPEFORNUMBEROFUNITS</t>
  </si>
  <si>
    <t>UNITTYPEFORDISCOUNTPERCENT</t>
  </si>
  <si>
    <t>UNITTYPEFORNATIVECURRENCYAMT</t>
  </si>
  <si>
    <t>EVENTTYPEID</t>
  </si>
  <si>
    <t>BAN NUMMBER</t>
  </si>
  <si>
    <t>ACCOIUNT TYPE</t>
  </si>
  <si>
    <t>TENANTID</t>
  </si>
  <si>
    <t>ACCOUNTINGDATE_1</t>
  </si>
  <si>
    <t>MODELSEQ</t>
  </si>
  <si>
    <t>ISPURGED</t>
  </si>
  <si>
    <t>TENANTID_1</t>
  </si>
  <si>
    <t>PAGENUMBER</t>
  </si>
  <si>
    <t>COMPENSATIONDATE_2</t>
  </si>
  <si>
    <t>GENERICATTRIBUTE17_1</t>
  </si>
  <si>
    <t>GENERICATTRIBUTE18_1</t>
  </si>
  <si>
    <t>GENERICATTRIBUTE19_1</t>
  </si>
  <si>
    <t>GENERICATTRIBUTE20_1</t>
  </si>
  <si>
    <t>GENERICDATE7</t>
  </si>
  <si>
    <t>GENERICDATE8</t>
  </si>
  <si>
    <t>GENERICDATE9</t>
  </si>
  <si>
    <t>GENERICDATE10</t>
  </si>
  <si>
    <t>GENERICDATE11</t>
  </si>
  <si>
    <t>GENERICDATE12</t>
  </si>
  <si>
    <t>GENERICDATE13</t>
  </si>
  <si>
    <t>GENERICDATE14</t>
  </si>
  <si>
    <t>GENERICDATE15</t>
  </si>
  <si>
    <t>GENERICDATE16</t>
  </si>
  <si>
    <t>GENERICDATE17</t>
  </si>
  <si>
    <t>GENERICDATE18</t>
  </si>
  <si>
    <t>GENERICDATE19</t>
  </si>
  <si>
    <t>GENERICDATE20</t>
  </si>
  <si>
    <t>GENERICBOOLEAN7</t>
  </si>
  <si>
    <t>GENERICBOOLEAN8</t>
  </si>
  <si>
    <t>GENERICBOOLEAN9</t>
  </si>
  <si>
    <t>GENERICBOOLEAN10</t>
  </si>
  <si>
    <t>GENERICBOOLEAN11</t>
  </si>
  <si>
    <t>GENERICBOOLEAN12</t>
  </si>
  <si>
    <t>GENERICBOOLEAN13</t>
  </si>
  <si>
    <t>GENERICBOOLEAN14</t>
  </si>
  <si>
    <t>GENERICBOOLEAN15</t>
  </si>
  <si>
    <t>GENERICBOOLEAN16</t>
  </si>
  <si>
    <t>GENERICBOOLEAN17</t>
  </si>
  <si>
    <t>GENERICBOOLEAN18</t>
  </si>
  <si>
    <t>GENERICBOOLEAN19</t>
  </si>
  <si>
    <t>GENERICBOOLEAN20</t>
  </si>
  <si>
    <t>GENERICNUMBER7</t>
  </si>
  <si>
    <t>UNITTYPEFORGENERICNUMBER7</t>
  </si>
  <si>
    <t>GENERICNUMBER8</t>
  </si>
  <si>
    <t>UNITTYPEFORGENERICNUMBER8</t>
  </si>
  <si>
    <t>GENERICNUMBER9</t>
  </si>
  <si>
    <t>UNITTYPEFORGENERICNUMBER9</t>
  </si>
  <si>
    <t>GENERICNUMBER10</t>
  </si>
  <si>
    <t>UNITTYPEFORGENERICNUMBER10</t>
  </si>
  <si>
    <t>GENERICNUMBER11</t>
  </si>
  <si>
    <t>UNITTYPEFORGENERICNUMBER11</t>
  </si>
  <si>
    <t>GENERICNUMBER12</t>
  </si>
  <si>
    <t>UNITTYPEFORGENERICNUMBER12</t>
  </si>
  <si>
    <t>GENERICNUMBER13</t>
  </si>
  <si>
    <t>UNITTYPEFORGENERICNUMBER13</t>
  </si>
  <si>
    <t>GENERICNUMBER14</t>
  </si>
  <si>
    <t>UNITTYPEFORGENERICNUMBER14</t>
  </si>
  <si>
    <t>GENERICNUMBER15</t>
  </si>
  <si>
    <t>UNITTYPEFORGENERICNUMBER15</t>
  </si>
  <si>
    <t>GENERICNUMBER16</t>
  </si>
  <si>
    <t>UNITTYPEFORGENERICNUMBER16</t>
  </si>
  <si>
    <t>GENERICNUMBER17</t>
  </si>
  <si>
    <t>UNITTYPEFORGENERICNUMBER17</t>
  </si>
  <si>
    <t>GENERICNUMBER18</t>
  </si>
  <si>
    <t>UNITTYPEFORGENERICNUMBER18</t>
  </si>
  <si>
    <t>GENERICNUMBER19</t>
  </si>
  <si>
    <t>UNITTYPEFORGENERICNUMBER19</t>
  </si>
  <si>
    <t>GENERICNUMBER20</t>
  </si>
  <si>
    <t>UNITTYPEFORGENERICNUMBER20</t>
  </si>
  <si>
    <t>EPS TRANSACTION COUNT</t>
  </si>
  <si>
    <t>DTVCOMP TRANSACTION COUNT</t>
  </si>
  <si>
    <t>REASON FOR VARIENCES</t>
  </si>
  <si>
    <t>Transactions are matching in both EPS &amp; DTVCOMP (Non Zero Trx Value)</t>
  </si>
  <si>
    <t>1. 13 SAJ Account Type Transactions are duplicate in EPS System with different Order ID and Product ID
2. 5 CHG Account Type Transactions are duplicate in EPS System  with different Order ID and Product ID</t>
  </si>
  <si>
    <t>Transactions with invalid Payment Term (REF, WOR, WOF)</t>
  </si>
  <si>
    <t>1. 1725 Transactions are available in DTVCOMP but not Present in EPS
2. 1523 Transactions are available in EPS but not Present in DTVCOMP</t>
  </si>
  <si>
    <t>Transactions are matching in both EPS &amp; DTVCOMP but Account Type has been changed</t>
  </si>
  <si>
    <t>3. 572 Transactions are having Account Type Mismatch</t>
  </si>
  <si>
    <t>SUMMARY FOR 1st APR To 10th APR 2023</t>
  </si>
  <si>
    <t>Transactions are available in both EPS &amp; DTVCOMP (Zero Trx Value)</t>
  </si>
  <si>
    <t>Below Payment Terms are not applicable for comparison:
1. REF, 2. WOR, 3. WOF</t>
  </si>
  <si>
    <t>Transactions with Other invalid Payment Terms(PAY, SUM, PAR, PAJ)</t>
  </si>
  <si>
    <t>Below Payment Terms are not applicable for comparison:
1. PAY, 2. SUM, 3. PAR, 4. PAJ</t>
  </si>
  <si>
    <t>Transactions with invalid Account Types(CSH, PTR, REG, QST, BST)</t>
  </si>
  <si>
    <t>Below Account Types are not applicable for comparison:
1. CSH, 2. PTR, 3. REG, 4. QST, 5. BST</t>
  </si>
  <si>
    <t>Transactions are not available in EPS but available in DTVCOMP
+
Transactions are not available in DTVCOMP but available in EPS</t>
  </si>
  <si>
    <t>Select DISTINCT so.ORDERID, st.LINENUMBER, ev.EVENTTYPEID, st.ACCOUNTINGDATE, st.SUBLINENUMBER, st.VALUE "TRX VALUE", stg.GENERICATTRIBUTE19 "BAN NUMBER", st.GENERICATTRIBUTE29 "BAN NUMMBER", 
st.GENERICATTRIBUTE4 "PROPERTY ID", st.COMPENSATIONDATE, st.GENERICATTRIBUTE13 "ACCOUNT TYPE", st.*, stg.*
from CS_SALESORDER@TC_LINK so, CS_SALESTRANSACTION@TC_LINK st, CS_EVENTTYPE@TC_LINK ev, CS_GASALESTRANSACTION@TC_LINK stg
WHERE so.SALESORDERSEQ=st.SALESORDERSEQ AND ev.REMOVEDATE=TO_DATE('01-JAN-2200','DD-MON-YYYY') AND st.EVENTTYPESEQ=ev.DATATYPESEQ 
AND st.ACCOUNTINGDATE BETWEEN TO_DATE('11-APR-2023','DD-MON-YYYY') AND TO_DATE('20-APR-2023','DD-MON-YYYY') AND st.SALESTRANSACTIONSEQ=stg.SALESTRANSACTIONSEQ AND st.CHANNEL='MDU' AND ev.EVENTTYPEID LIKE '%CSF%';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</si>
</sst>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.00"/>
    <numFmt numFmtId="165" formatCode="[$-10409]hh:mm:ss\ AM/PM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5" borderId="2" xfId="0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1" fontId="0" fillId="0" borderId="0" xfId="0" applyNumberFormat="1"/>
    <xf numFmtId="0" fontId="2" fillId="6" borderId="6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3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2" xfId="0" quotePrefix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8" borderId="0" xfId="0" applyFill="1"/>
    <xf numFmtId="0" fontId="3" fillId="3" borderId="2" xfId="0" applyFont="1" applyFill="1" applyBorder="1"/>
    <xf numFmtId="165" fontId="7" fillId="8" borderId="2" xfId="0" applyNumberFormat="1" applyFont="1" applyFill="1" applyBorder="1" applyAlignment="1">
      <alignment horizontal="center" vertical="center"/>
    </xf>
    <xf numFmtId="21" fontId="0" fillId="8" borderId="0" xfId="0" applyNumberFormat="1" applyFill="1"/>
    <xf numFmtId="49" fontId="0" fillId="0" borderId="0" xfId="0" applyNumberFormat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0" borderId="3" xfId="0" applyFont="1" applyBorder="1" applyAlignment="1">
      <alignment horizontal="left" vertical="top" wrapText="1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vertical="top" wrapText="1"/>
    </xf>
    <xf numFmtId="0" fontId="0" fillId="0" borderId="8" xfId="0" applyBorder="1" applyAlignment="1">
      <alignment horizontal="left" vertical="top" wrapText="1"/>
    </xf>
    <xf numFmtId="0" fontId="6" fillId="8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8</xdr:row>
          <xdr:rowOff>6350</xdr:rowOff>
        </xdr:from>
        <xdr:to>
          <xdr:col>2</xdr:col>
          <xdr:colOff>95250</xdr:colOff>
          <xdr:row>9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8</xdr:row>
          <xdr:rowOff>6350</xdr:rowOff>
        </xdr:from>
        <xdr:to>
          <xdr:col>3</xdr:col>
          <xdr:colOff>717550</xdr:colOff>
          <xdr:row>9</xdr:row>
          <xdr:rowOff>88900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260350</xdr:colOff>
          <xdr:row>8</xdr:row>
          <xdr:rowOff>0</xdr:rowOff>
        </xdr:from>
        <xdr:to>
          <xdr:col>8</xdr:col>
          <xdr:colOff>171450</xdr:colOff>
          <xdr:row>9</xdr:row>
          <xdr:rowOff>82550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DTVCOMP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8</xdr:row>
          <xdr:rowOff>0</xdr:rowOff>
        </xdr:from>
        <xdr:to>
          <xdr:col>5</xdr:col>
          <xdr:colOff>742950</xdr:colOff>
          <xdr:row>9</xdr:row>
          <xdr:rowOff>82550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EPS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431800</xdr:colOff>
          <xdr:row>8</xdr:row>
          <xdr:rowOff>12700</xdr:rowOff>
        </xdr:from>
        <xdr:to>
          <xdr:col>10</xdr:col>
          <xdr:colOff>95250</xdr:colOff>
          <xdr:row>9</xdr:row>
          <xdr:rowOff>95250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DA667-9835-460E-913F-A715D76178BB}">
  <sheetPr codeName="Sheet1"/>
  <dimension ref="A1:K40"/>
  <sheetViews>
    <sheetView workbookViewId="0">
      <selection activeCell="J13" sqref="J13"/>
    </sheetView>
  </sheetViews>
  <sheetFormatPr defaultColWidth="0" defaultRowHeight="14.5" customHeight="1" zeroHeight="1" x14ac:dyDescent="0.35"/>
  <cols>
    <col min="1" max="1" width="8.7265625" style="18" customWidth="1"/>
    <col min="2" max="2" width="10.7265625" style="18" bestFit="1" customWidth="1"/>
    <col min="3" max="3" width="11.26953125" style="18" bestFit="1" customWidth="1"/>
    <col min="4" max="4" width="12" style="18" customWidth="1"/>
    <col min="5" max="5" width="9.08984375" style="18" bestFit="1" customWidth="1"/>
    <col min="6" max="6" width="11.08984375" style="18" bestFit="1" customWidth="1"/>
    <col min="7" max="7" width="9.08984375" style="18" bestFit="1" customWidth="1"/>
    <col min="8" max="9" width="11.26953125" style="18" bestFit="1" customWidth="1"/>
    <col min="10" max="10" width="11.26953125" style="18" customWidth="1"/>
    <col min="11" max="11" width="8.81640625" style="18" customWidth="1"/>
    <col min="12" max="16384" width="8.7265625" style="18" hidden="1"/>
  </cols>
  <sheetData>
    <row r="1" spans="2:8" x14ac:dyDescent="0.35"/>
    <row r="2" spans="2:8" x14ac:dyDescent="0.35">
      <c r="C2" s="29" t="s">
        <v>14</v>
      </c>
      <c r="D2" s="29"/>
      <c r="E2" s="29"/>
      <c r="F2" s="29"/>
      <c r="G2" s="29"/>
      <c r="H2" s="29"/>
    </row>
    <row r="3" spans="2:8" x14ac:dyDescent="0.35">
      <c r="C3" s="29"/>
      <c r="D3" s="29"/>
      <c r="E3" s="29"/>
      <c r="F3" s="29"/>
      <c r="G3" s="29"/>
      <c r="H3" s="29"/>
    </row>
    <row r="4" spans="2:8" x14ac:dyDescent="0.35"/>
    <row r="5" spans="2:8" x14ac:dyDescent="0.35"/>
    <row r="6" spans="2:8" x14ac:dyDescent="0.35"/>
    <row r="7" spans="2:8" x14ac:dyDescent="0.35"/>
    <row r="8" spans="2:8" x14ac:dyDescent="0.35"/>
    <row r="9" spans="2:8" x14ac:dyDescent="0.35"/>
    <row r="10" spans="2:8" x14ac:dyDescent="0.35"/>
    <row r="11" spans="2:8" x14ac:dyDescent="0.35"/>
    <row r="12" spans="2:8" x14ac:dyDescent="0.35">
      <c r="B12" s="19" t="s">
        <v>15</v>
      </c>
      <c r="C12" s="20">
        <v>1.6053240740740739E-2</v>
      </c>
      <c r="G12" s="19" t="s">
        <v>16</v>
      </c>
      <c r="H12" s="20">
        <v>5.4629629629629632E-2</v>
      </c>
    </row>
    <row r="13" spans="2:8" x14ac:dyDescent="0.35">
      <c r="C13" s="21"/>
    </row>
    <row r="14" spans="2:8" x14ac:dyDescent="0.35"/>
    <row r="15" spans="2:8" x14ac:dyDescent="0.35"/>
    <row r="16" spans="2:8" x14ac:dyDescent="0.35"/>
    <row r="17" hidden="1" x14ac:dyDescent="0.35"/>
    <row r="18" hidden="1" x14ac:dyDescent="0.35"/>
    <row r="19" hidden="1" x14ac:dyDescent="0.35"/>
    <row r="20" hidden="1" x14ac:dyDescent="0.35"/>
    <row r="21" hidden="1" x14ac:dyDescent="0.35"/>
    <row r="22" hidden="1" x14ac:dyDescent="0.35"/>
    <row r="23" hidden="1" x14ac:dyDescent="0.35"/>
    <row r="24" hidden="1" x14ac:dyDescent="0.35"/>
    <row r="25" hidden="1" x14ac:dyDescent="0.35"/>
    <row r="26" hidden="1" x14ac:dyDescent="0.35"/>
    <row r="27" hidden="1" x14ac:dyDescent="0.35"/>
    <row r="28" hidden="1" x14ac:dyDescent="0.35"/>
    <row r="29" hidden="1" x14ac:dyDescent="0.35"/>
    <row r="30" hidden="1" x14ac:dyDescent="0.35"/>
    <row r="31" hidden="1" x14ac:dyDescent="0.35"/>
    <row r="32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</sheetData>
  <mergeCells count="1">
    <mergeCell ref="C2:H3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ainDriver">
                <anchor moveWithCells="1" sizeWithCells="1">
                  <from>
                    <xdr:col>0</xdr:col>
                    <xdr:colOff>342900</xdr:colOff>
                    <xdr:row>8</xdr:row>
                    <xdr:rowOff>6350</xdr:rowOff>
                  </from>
                  <to>
                    <xdr:col>2</xdr:col>
                    <xdr:colOff>95250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SummarySheet">
                <anchor moveWithCells="1" sizeWithCells="1">
                  <from>
                    <xdr:col>2</xdr:col>
                    <xdr:colOff>304800</xdr:colOff>
                    <xdr:row>8</xdr:row>
                    <xdr:rowOff>6350</xdr:rowOff>
                  </from>
                  <to>
                    <xdr:col>3</xdr:col>
                    <xdr:colOff>717550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TVCOMPExtractSheet">
                <anchor moveWithCells="1" sizeWithCells="1">
                  <from>
                    <xdr:col>6</xdr:col>
                    <xdr:colOff>260350</xdr:colOff>
                    <xdr:row>8</xdr:row>
                    <xdr:rowOff>0</xdr:rowOff>
                  </from>
                  <to>
                    <xdr:col>8</xdr:col>
                    <xdr:colOff>171450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EPSExtractSheet">
                <anchor moveWithCells="1" sizeWithCells="1">
                  <from>
                    <xdr:col>4</xdr:col>
                    <xdr:colOff>139700</xdr:colOff>
                    <xdr:row>8</xdr:row>
                    <xdr:rowOff>0</xdr:rowOff>
                  </from>
                  <to>
                    <xdr:col>5</xdr:col>
                    <xdr:colOff>742950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Output_Report">
                <anchor moveWithCells="1" sizeWithCells="1">
                  <from>
                    <xdr:col>8</xdr:col>
                    <xdr:colOff>431800</xdr:colOff>
                    <xdr:row>8</xdr:row>
                    <xdr:rowOff>12700</xdr:rowOff>
                  </from>
                  <to>
                    <xdr:col>10</xdr:col>
                    <xdr:colOff>95250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F19A-BD2C-4E55-9B38-73FF6B63B89D}">
  <sheetPr codeName="Sheet2"/>
  <dimension ref="A1:R23"/>
  <sheetViews>
    <sheetView topLeftCell="A10" zoomScale="80" zoomScaleNormal="80" workbookViewId="0">
      <selection activeCell="B22" sqref="B22"/>
    </sheetView>
  </sheetViews>
  <sheetFormatPr defaultColWidth="0" defaultRowHeight="14.5" x14ac:dyDescent="0.35"/>
  <cols>
    <col min="1" max="1" width="8.7265625" customWidth="1"/>
    <col min="2" max="2" width="72.1796875" bestFit="1" customWidth="1"/>
    <col min="3" max="3" width="30.54296875" bestFit="1" customWidth="1"/>
    <col min="4" max="4" width="30.1796875" bestFit="1" customWidth="1"/>
    <col min="5" max="5" width="63.6328125" customWidth="1"/>
    <col min="6" max="6" width="23.81640625" bestFit="1" customWidth="1"/>
    <col min="7" max="7" width="30" bestFit="1" customWidth="1"/>
    <col min="8" max="8" width="10" customWidth="1"/>
    <col min="9" max="15" width="8.7265625" hidden="1" customWidth="1"/>
    <col min="16" max="16" width="25.453125" hidden="1" customWidth="1"/>
    <col min="17" max="17" width="31.81640625" hidden="1" customWidth="1"/>
    <col min="18" max="18" width="12" hidden="1" customWidth="1"/>
    <col min="19" max="16384" width="8.7265625" hidden="1"/>
  </cols>
  <sheetData>
    <row r="1" spans="2:16" x14ac:dyDescent="0.35">
      <c r="B1" s="31" t="s">
        <v>1</v>
      </c>
      <c r="C1" s="31"/>
      <c r="D1" s="31"/>
    </row>
    <row r="2" spans="2:16" x14ac:dyDescent="0.35">
      <c r="B2" s="6" t="s">
        <v>2</v>
      </c>
      <c r="C2" s="6" t="s">
        <v>3</v>
      </c>
      <c r="D2" s="23" t="s">
        <v>4</v>
      </c>
    </row>
    <row r="3" spans="2:16" x14ac:dyDescent="0.35">
      <c r="B3" s="7">
        <v>1855294</v>
      </c>
      <c r="C3" s="7">
        <v>1811015.9679</v>
      </c>
      <c r="D3" s="7">
        <f>B3-C3</f>
        <v>44278.032099999953</v>
      </c>
    </row>
    <row r="4" spans="2:16" x14ac:dyDescent="0.35">
      <c r="D4" s="8"/>
      <c r="F4" s="9"/>
    </row>
    <row r="5" spans="2:16" x14ac:dyDescent="0.35">
      <c r="B5" s="31" t="s">
        <v>5</v>
      </c>
      <c r="C5" s="31"/>
      <c r="D5" s="31"/>
    </row>
    <row r="6" spans="2:16" x14ac:dyDescent="0.35">
      <c r="B6" s="10" t="s">
        <v>6</v>
      </c>
      <c r="C6" s="10" t="s">
        <v>7</v>
      </c>
      <c r="D6" s="23" t="s">
        <v>4</v>
      </c>
    </row>
    <row r="7" spans="2:16" x14ac:dyDescent="0.35">
      <c r="B7" s="11">
        <v>283157</v>
      </c>
      <c r="C7" s="11">
        <v>184459</v>
      </c>
      <c r="D7" s="24">
        <v>98698</v>
      </c>
    </row>
    <row r="8" spans="2:16" x14ac:dyDescent="0.35">
      <c r="B8" t="s">
        <v>8</v>
      </c>
    </row>
    <row r="9" spans="2:16" x14ac:dyDescent="0.35">
      <c r="B9" s="12" t="s">
        <v>9</v>
      </c>
      <c r="C9" s="12" t="s">
        <v>10</v>
      </c>
      <c r="D9" s="23" t="s">
        <v>4</v>
      </c>
      <c r="P9" s="13"/>
    </row>
    <row r="10" spans="2:16" x14ac:dyDescent="0.35">
      <c r="B10" s="7">
        <v>2969525.3800038015</v>
      </c>
      <c r="C10" s="7">
        <v>3948394.5300019435</v>
      </c>
      <c r="D10" s="7">
        <v>-978869.14999814192</v>
      </c>
    </row>
    <row r="12" spans="2:16" x14ac:dyDescent="0.35">
      <c r="B12" s="6" t="s">
        <v>2</v>
      </c>
      <c r="C12" s="6" t="s">
        <v>3</v>
      </c>
      <c r="D12" s="23" t="s">
        <v>4</v>
      </c>
    </row>
    <row r="13" spans="2:16" x14ac:dyDescent="0.35">
      <c r="B13" s="7"/>
      <c r="C13" s="7"/>
      <c r="D13" s="7">
        <v>0</v>
      </c>
    </row>
    <row r="15" spans="2:16" x14ac:dyDescent="0.35">
      <c r="B15" s="30" t="s">
        <v>269</v>
      </c>
      <c r="C15" s="30"/>
      <c r="D15" s="30"/>
      <c r="E15" s="30"/>
    </row>
    <row r="16" spans="2:16" x14ac:dyDescent="0.35">
      <c r="B16" s="1" t="s">
        <v>0</v>
      </c>
      <c r="C16" s="1" t="s">
        <v>260</v>
      </c>
      <c r="D16" s="1" t="s">
        <v>261</v>
      </c>
      <c r="E16" s="2" t="s">
        <v>262</v>
      </c>
    </row>
    <row r="17" spans="2:5" ht="58" x14ac:dyDescent="0.35">
      <c r="B17" s="5" t="s">
        <v>263</v>
      </c>
      <c r="C17" s="3"/>
      <c r="D17" s="3"/>
      <c r="E17" s="4" t="s">
        <v>264</v>
      </c>
    </row>
    <row r="18" spans="2:5" x14ac:dyDescent="0.35">
      <c r="B18" s="5" t="s">
        <v>270</v>
      </c>
      <c r="C18" s="3"/>
      <c r="D18" s="3"/>
      <c r="E18" s="4"/>
    </row>
    <row r="19" spans="2:5" ht="29" x14ac:dyDescent="0.35">
      <c r="B19" s="5" t="s">
        <v>265</v>
      </c>
      <c r="C19" s="3"/>
      <c r="D19" s="3"/>
      <c r="E19" s="4" t="s">
        <v>271</v>
      </c>
    </row>
    <row r="20" spans="2:5" ht="29" x14ac:dyDescent="0.35">
      <c r="B20" s="5" t="s">
        <v>272</v>
      </c>
      <c r="C20" s="3"/>
      <c r="D20" s="3"/>
      <c r="E20" s="4" t="s">
        <v>273</v>
      </c>
    </row>
    <row r="21" spans="2:5" ht="29" x14ac:dyDescent="0.35">
      <c r="B21" s="25" t="s">
        <v>274</v>
      </c>
      <c r="C21" s="26"/>
      <c r="D21" s="26"/>
      <c r="E21" s="28" t="s">
        <v>275</v>
      </c>
    </row>
    <row r="22" spans="2:5" ht="43.5" x14ac:dyDescent="0.35">
      <c r="B22" s="25" t="s">
        <v>276</v>
      </c>
      <c r="C22" s="26"/>
      <c r="D22" s="26"/>
      <c r="E22" s="27" t="s">
        <v>266</v>
      </c>
    </row>
    <row r="23" spans="2:5" ht="29" x14ac:dyDescent="0.35">
      <c r="B23" s="5" t="s">
        <v>267</v>
      </c>
      <c r="C23" s="11"/>
      <c r="D23" s="11"/>
      <c r="E23" s="27" t="s">
        <v>268</v>
      </c>
    </row>
  </sheetData>
  <mergeCells count="3">
    <mergeCell ref="B15:E15"/>
    <mergeCell ref="B1:D1"/>
    <mergeCell ref="B5:D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64950-B54A-4CB9-82CE-E60008FE5059}">
  <sheetPr codeName="Sheet3"/>
  <dimension ref="A1:FQ1"/>
  <sheetViews>
    <sheetView workbookViewId="0">
      <selection activeCell="A2" sqref="A2:XFD283158"/>
    </sheetView>
  </sheetViews>
  <sheetFormatPr defaultRowHeight="14.5" x14ac:dyDescent="0.35"/>
  <cols>
    <col min="1" max="1" width="11.81640625" style="22" bestFit="1" customWidth="1"/>
    <col min="2" max="2" width="11.90625" style="22" bestFit="1" customWidth="1"/>
    <col min="3" max="3" width="15.26953125" style="22" bestFit="1" customWidth="1"/>
    <col min="4" max="4" width="12" style="22" bestFit="1" customWidth="1"/>
    <col min="5" max="5" width="9.7265625" style="22" bestFit="1" customWidth="1"/>
    <col min="6" max="6" width="12.26953125" style="22" bestFit="1" customWidth="1"/>
    <col min="7" max="7" width="14.81640625" style="22" bestFit="1" customWidth="1"/>
    <col min="8" max="8" width="11.6328125" style="22" bestFit="1" customWidth="1"/>
    <col min="9" max="9" width="12.6328125" style="22" bestFit="1" customWidth="1"/>
    <col min="10" max="10" width="12.08984375" style="22" bestFit="1" customWidth="1"/>
    <col min="11" max="11" width="18" style="22" bestFit="1" customWidth="1"/>
    <col min="12" max="13" width="17" style="22" bestFit="1" customWidth="1"/>
    <col min="14" max="14" width="18" style="22" bestFit="1" customWidth="1"/>
    <col min="15" max="15" width="21.08984375" style="22" bestFit="1" customWidth="1"/>
    <col min="16" max="16" width="17" style="22" bestFit="1" customWidth="1"/>
    <col min="17" max="17" width="18" style="22" bestFit="1" customWidth="1"/>
    <col min="18" max="18" width="39.08984375" style="22" bestFit="1" customWidth="1"/>
    <col min="19" max="19" width="18" style="22" bestFit="1" customWidth="1"/>
    <col min="20" max="20" width="12.7265625" style="22" bestFit="1" customWidth="1"/>
    <col min="21" max="21" width="19.1796875" style="22" bestFit="1" customWidth="1"/>
    <col min="22" max="22" width="16.1796875" style="22" bestFit="1" customWidth="1"/>
    <col min="23" max="23" width="16.81640625" style="22" bestFit="1" customWidth="1"/>
    <col min="24" max="24" width="18" style="22" bestFit="1" customWidth="1"/>
    <col min="25" max="25" width="29.7265625" style="22" bestFit="1" customWidth="1"/>
    <col min="26" max="26" width="10" style="22" bestFit="1" customWidth="1"/>
    <col min="27" max="27" width="17.81640625" style="22" bestFit="1" customWidth="1"/>
    <col min="28" max="28" width="12.26953125" style="22" bestFit="1" customWidth="1"/>
    <col min="29" max="29" width="17" style="22" bestFit="1" customWidth="1"/>
    <col min="30" max="30" width="6.6328125" style="22" bestFit="1" customWidth="1"/>
    <col min="31" max="31" width="10.453125" style="22" bestFit="1" customWidth="1"/>
    <col min="32" max="32" width="9.36328125" style="22" bestFit="1" customWidth="1"/>
    <col min="33" max="34" width="10.90625" style="22" bestFit="1" customWidth="1"/>
    <col min="35" max="43" width="18.453125" style="22" bestFit="1" customWidth="1"/>
    <col min="44" max="50" width="19.453125" style="22" bestFit="1" customWidth="1"/>
    <col min="51" max="51" width="16.6328125" style="22" bestFit="1" customWidth="1"/>
    <col min="52" max="52" width="28.36328125" style="22" bestFit="1" customWidth="1"/>
    <col min="53" max="53" width="16.6328125" style="22" bestFit="1" customWidth="1"/>
    <col min="54" max="54" width="28.36328125" style="22" bestFit="1" customWidth="1"/>
    <col min="55" max="55" width="16.6328125" style="22" bestFit="1" customWidth="1"/>
    <col min="56" max="56" width="28.36328125" style="22" bestFit="1" customWidth="1"/>
    <col min="57" max="57" width="16.6328125" style="22" bestFit="1" customWidth="1"/>
    <col min="58" max="58" width="28.36328125" style="22" bestFit="1" customWidth="1"/>
    <col min="59" max="59" width="16.6328125" style="22" bestFit="1" customWidth="1"/>
    <col min="60" max="60" width="28.36328125" style="22" bestFit="1" customWidth="1"/>
    <col min="61" max="61" width="16.6328125" style="22" bestFit="1" customWidth="1"/>
    <col min="62" max="62" width="28.36328125" style="22" bestFit="1" customWidth="1"/>
    <col min="63" max="68" width="13.6328125" style="22" bestFit="1" customWidth="1"/>
    <col min="69" max="74" width="17.36328125" style="22" bestFit="1" customWidth="1"/>
    <col min="75" max="75" width="18.81640625" style="22" bestFit="1" customWidth="1"/>
    <col min="76" max="76" width="23.08984375" style="22" bestFit="1" customWidth="1"/>
    <col min="77" max="77" width="18" style="22" bestFit="1" customWidth="1"/>
    <col min="78" max="78" width="14" style="22" bestFit="1" customWidth="1"/>
    <col min="79" max="79" width="17.36328125" style="22" bestFit="1" customWidth="1"/>
    <col min="80" max="81" width="18" style="22" bestFit="1" customWidth="1"/>
    <col min="82" max="82" width="14.81640625" style="22" bestFit="1" customWidth="1"/>
    <col min="83" max="83" width="21.26953125" style="22" bestFit="1" customWidth="1"/>
    <col min="84" max="84" width="17.54296875" style="22" bestFit="1" customWidth="1"/>
    <col min="85" max="85" width="18" style="22" bestFit="1" customWidth="1"/>
    <col min="86" max="86" width="20" style="22" bestFit="1" customWidth="1"/>
    <col min="87" max="87" width="11.26953125" style="22" bestFit="1" customWidth="1"/>
    <col min="88" max="88" width="18.90625" style="22" bestFit="1" customWidth="1"/>
    <col min="89" max="89" width="16.7265625" style="22" bestFit="1" customWidth="1"/>
    <col min="90" max="90" width="12.7265625" style="22" bestFit="1" customWidth="1"/>
    <col min="91" max="91" width="33.36328125" style="22" bestFit="1" customWidth="1"/>
    <col min="92" max="92" width="31.453125" style="22" bestFit="1" customWidth="1"/>
    <col min="93" max="93" width="15.6328125" style="22" bestFit="1" customWidth="1"/>
    <col min="94" max="94" width="10.26953125" style="22" bestFit="1" customWidth="1"/>
    <col min="95" max="95" width="22" style="22" bestFit="1" customWidth="1"/>
    <col min="96" max="96" width="20" style="22" bestFit="1" customWidth="1"/>
    <col min="97" max="97" width="31.7265625" style="22" bestFit="1" customWidth="1"/>
    <col min="98" max="98" width="9" style="22" bestFit="1" customWidth="1"/>
    <col min="99" max="99" width="19.81640625" style="22" bestFit="1" customWidth="1"/>
    <col min="100" max="100" width="15.90625" style="22" bestFit="1" customWidth="1"/>
    <col min="101" max="101" width="23.90625" style="22" bestFit="1" customWidth="1"/>
    <col min="102" max="102" width="17.1796875" style="22" bestFit="1" customWidth="1"/>
    <col min="103" max="103" width="13.6328125" style="22" bestFit="1" customWidth="1"/>
    <col min="104" max="104" width="16.81640625" style="22" bestFit="1" customWidth="1"/>
    <col min="105" max="105" width="10.6328125" style="22" bestFit="1" customWidth="1"/>
    <col min="106" max="106" width="8.7265625" style="22"/>
    <col min="107" max="107" width="23.90625" style="22" bestFit="1" customWidth="1"/>
    <col min="108" max="108" width="14.453125" style="22" bestFit="1" customWidth="1"/>
    <col min="109" max="110" width="13" style="22" bestFit="1" customWidth="1"/>
    <col min="111" max="119" width="20.453125" style="22" bestFit="1" customWidth="1"/>
    <col min="120" max="124" width="21.54296875" style="22" bestFit="1" customWidth="1"/>
    <col min="125" max="125" width="35.6328125" style="22" bestFit="1" customWidth="1"/>
    <col min="126" max="126" width="21.54296875" style="22" bestFit="1" customWidth="1"/>
    <col min="127" max="128" width="19.453125" style="22" bestFit="1" customWidth="1"/>
    <col min="129" max="129" width="33.6328125" style="22" bestFit="1" customWidth="1"/>
    <col min="130" max="130" width="25.6328125" style="22" bestFit="1" customWidth="1"/>
    <col min="131" max="133" width="19.453125" style="22" bestFit="1" customWidth="1"/>
    <col min="134" max="134" width="32.08984375" style="22" bestFit="1" customWidth="1"/>
    <col min="135" max="135" width="20.1796875" style="22" bestFit="1" customWidth="1"/>
    <col min="136" max="142" width="19.453125" style="22" bestFit="1" customWidth="1"/>
    <col min="143" max="143" width="18.7265625" style="22" bestFit="1" customWidth="1"/>
    <col min="144" max="144" width="30.453125" style="22" bestFit="1" customWidth="1"/>
    <col min="145" max="145" width="18.7265625" style="22" bestFit="1" customWidth="1"/>
    <col min="146" max="146" width="30.453125" style="22" bestFit="1" customWidth="1"/>
    <col min="147" max="147" width="18.7265625" style="22" bestFit="1" customWidth="1"/>
    <col min="148" max="148" width="30.453125" style="22" bestFit="1" customWidth="1"/>
    <col min="149" max="149" width="18.7265625" style="22" bestFit="1" customWidth="1"/>
    <col min="150" max="150" width="30.453125" style="22" bestFit="1" customWidth="1"/>
    <col min="151" max="151" width="18.7265625" style="22" bestFit="1" customWidth="1"/>
    <col min="152" max="152" width="30.453125" style="22" bestFit="1" customWidth="1"/>
    <col min="153" max="153" width="18.7265625" style="22" bestFit="1" customWidth="1"/>
    <col min="154" max="154" width="30.453125" style="22" bestFit="1" customWidth="1"/>
    <col min="155" max="160" width="15.6328125" style="22" bestFit="1" customWidth="1"/>
    <col min="161" max="166" width="19.36328125" style="22" bestFit="1" customWidth="1"/>
    <col min="167" max="167" width="20.81640625" style="22" bestFit="1" customWidth="1"/>
    <col min="168" max="168" width="18.26953125" style="22" bestFit="1" customWidth="1"/>
    <col min="169" max="169" width="23.6328125" style="22" bestFit="1" customWidth="1"/>
    <col min="170" max="170" width="27" style="22" bestFit="1" customWidth="1"/>
    <col min="171" max="171" width="27.36328125" style="22" bestFit="1" customWidth="1"/>
    <col min="172" max="172" width="28.81640625" style="22" bestFit="1" customWidth="1"/>
    <col min="173" max="173" width="31.6328125" style="22" bestFit="1" customWidth="1"/>
    <col min="174" max="16384" width="8.7265625" style="22"/>
  </cols>
  <sheetData>
    <row r="1" spans="1:173" x14ac:dyDescent="0.35">
      <c r="A1" s="22" t="s">
        <v>17</v>
      </c>
      <c r="B1" s="22" t="s">
        <v>18</v>
      </c>
      <c r="C1" s="22" t="s">
        <v>19</v>
      </c>
      <c r="D1" s="22" t="s">
        <v>20</v>
      </c>
      <c r="E1" s="22" t="s">
        <v>21</v>
      </c>
      <c r="F1" s="22" t="s">
        <v>22</v>
      </c>
      <c r="G1" s="22" t="s">
        <v>23</v>
      </c>
      <c r="H1" s="22" t="s">
        <v>24</v>
      </c>
      <c r="I1" s="22" t="s">
        <v>25</v>
      </c>
      <c r="J1" s="22" t="s">
        <v>26</v>
      </c>
      <c r="K1" s="22" t="s">
        <v>27</v>
      </c>
      <c r="L1" s="22" t="s">
        <v>28</v>
      </c>
      <c r="M1" s="22" t="s">
        <v>29</v>
      </c>
      <c r="N1" s="22" t="s">
        <v>30</v>
      </c>
      <c r="O1" s="22" t="s">
        <v>31</v>
      </c>
      <c r="P1" s="22" t="s">
        <v>32</v>
      </c>
      <c r="Q1" s="22" t="s">
        <v>33</v>
      </c>
      <c r="R1" s="22" t="s">
        <v>34</v>
      </c>
      <c r="S1" s="22" t="s">
        <v>35</v>
      </c>
      <c r="T1" s="22" t="s">
        <v>36</v>
      </c>
      <c r="U1" s="22" t="s">
        <v>37</v>
      </c>
      <c r="V1" s="22" t="s">
        <v>38</v>
      </c>
      <c r="W1" s="22" t="s">
        <v>39</v>
      </c>
      <c r="X1" s="22" t="s">
        <v>40</v>
      </c>
      <c r="Y1" s="22" t="s">
        <v>41</v>
      </c>
      <c r="Z1" s="22" t="s">
        <v>42</v>
      </c>
      <c r="AA1" s="22" t="s">
        <v>43</v>
      </c>
      <c r="AB1" s="22" t="s">
        <v>44</v>
      </c>
      <c r="AC1" s="22" t="s">
        <v>45</v>
      </c>
      <c r="AD1" s="22" t="s">
        <v>46</v>
      </c>
      <c r="AE1" s="22" t="s">
        <v>47</v>
      </c>
      <c r="AF1" s="22" t="s">
        <v>48</v>
      </c>
      <c r="AG1" s="22" t="s">
        <v>49</v>
      </c>
      <c r="AH1" s="22" t="s">
        <v>50</v>
      </c>
      <c r="AI1" s="22" t="s">
        <v>51</v>
      </c>
      <c r="AJ1" s="22" t="s">
        <v>52</v>
      </c>
      <c r="AK1" s="22" t="s">
        <v>53</v>
      </c>
      <c r="AL1" s="22" t="s">
        <v>54</v>
      </c>
      <c r="AM1" s="22" t="s">
        <v>55</v>
      </c>
      <c r="AN1" s="22" t="s">
        <v>56</v>
      </c>
      <c r="AO1" s="22" t="s">
        <v>57</v>
      </c>
      <c r="AP1" s="22" t="s">
        <v>58</v>
      </c>
      <c r="AQ1" s="22" t="s">
        <v>59</v>
      </c>
      <c r="AR1" s="22" t="s">
        <v>60</v>
      </c>
      <c r="AS1" s="22" t="s">
        <v>61</v>
      </c>
      <c r="AT1" s="22" t="s">
        <v>62</v>
      </c>
      <c r="AU1" s="22" t="s">
        <v>63</v>
      </c>
      <c r="AV1" s="22" t="s">
        <v>64</v>
      </c>
      <c r="AW1" s="22" t="s">
        <v>65</v>
      </c>
      <c r="AX1" s="22" t="s">
        <v>66</v>
      </c>
      <c r="AY1" s="22" t="s">
        <v>67</v>
      </c>
      <c r="AZ1" s="22" t="s">
        <v>68</v>
      </c>
      <c r="BA1" s="22" t="s">
        <v>69</v>
      </c>
      <c r="BB1" s="22" t="s">
        <v>70</v>
      </c>
      <c r="BC1" s="22" t="s">
        <v>71</v>
      </c>
      <c r="BD1" s="22" t="s">
        <v>72</v>
      </c>
      <c r="BE1" s="22" t="s">
        <v>73</v>
      </c>
      <c r="BF1" s="22" t="s">
        <v>74</v>
      </c>
      <c r="BG1" s="22" t="s">
        <v>75</v>
      </c>
      <c r="BH1" s="22" t="s">
        <v>76</v>
      </c>
      <c r="BI1" s="22" t="s">
        <v>77</v>
      </c>
      <c r="BJ1" s="22" t="s">
        <v>78</v>
      </c>
      <c r="BK1" s="22" t="s">
        <v>79</v>
      </c>
      <c r="BL1" s="22" t="s">
        <v>80</v>
      </c>
      <c r="BM1" s="22" t="s">
        <v>81</v>
      </c>
      <c r="BN1" s="22" t="s">
        <v>82</v>
      </c>
      <c r="BO1" s="22" t="s">
        <v>83</v>
      </c>
      <c r="BP1" s="22" t="s">
        <v>84</v>
      </c>
      <c r="BQ1" s="22" t="s">
        <v>85</v>
      </c>
      <c r="BR1" s="22" t="s">
        <v>86</v>
      </c>
      <c r="BS1" s="22" t="s">
        <v>87</v>
      </c>
      <c r="BT1" s="22" t="s">
        <v>88</v>
      </c>
      <c r="BU1" s="22" t="s">
        <v>89</v>
      </c>
      <c r="BV1" s="22" t="s">
        <v>90</v>
      </c>
      <c r="BW1" s="22" t="s">
        <v>91</v>
      </c>
      <c r="BX1" s="22" t="s">
        <v>92</v>
      </c>
      <c r="BY1" s="22" t="s">
        <v>93</v>
      </c>
      <c r="BZ1" s="22" t="s">
        <v>94</v>
      </c>
      <c r="CA1" s="22" t="s">
        <v>95</v>
      </c>
      <c r="CB1" s="22" t="s">
        <v>96</v>
      </c>
      <c r="CC1" s="22" t="s">
        <v>97</v>
      </c>
      <c r="CD1" s="22" t="s">
        <v>98</v>
      </c>
      <c r="CE1" s="22" t="s">
        <v>99</v>
      </c>
      <c r="CF1" s="22" t="s">
        <v>100</v>
      </c>
      <c r="CG1" s="22" t="s">
        <v>101</v>
      </c>
      <c r="CH1" s="22" t="s">
        <v>102</v>
      </c>
      <c r="CI1" s="22" t="s">
        <v>103</v>
      </c>
      <c r="CJ1" s="22" t="s">
        <v>104</v>
      </c>
      <c r="CK1" s="22" t="s">
        <v>105</v>
      </c>
      <c r="CL1" s="22" t="s">
        <v>106</v>
      </c>
      <c r="CM1" s="22" t="s">
        <v>107</v>
      </c>
      <c r="CN1" s="22" t="s">
        <v>108</v>
      </c>
      <c r="CO1" s="22" t="s">
        <v>109</v>
      </c>
      <c r="CP1" s="22" t="s">
        <v>110</v>
      </c>
      <c r="CQ1" s="22" t="s">
        <v>111</v>
      </c>
      <c r="CR1" s="22" t="s">
        <v>112</v>
      </c>
      <c r="CS1" s="22" t="s">
        <v>113</v>
      </c>
      <c r="CT1" s="22" t="s">
        <v>114</v>
      </c>
      <c r="CU1" s="22" t="s">
        <v>115</v>
      </c>
      <c r="CV1" s="22" t="s">
        <v>116</v>
      </c>
      <c r="CW1" s="22" t="s">
        <v>117</v>
      </c>
      <c r="CX1" s="22" t="s">
        <v>118</v>
      </c>
      <c r="CY1" s="22" t="s">
        <v>119</v>
      </c>
      <c r="CZ1" s="22" t="s">
        <v>120</v>
      </c>
      <c r="DA1" s="22" t="s">
        <v>121</v>
      </c>
      <c r="DB1" s="22" t="s">
        <v>122</v>
      </c>
      <c r="DC1" s="22" t="s">
        <v>123</v>
      </c>
      <c r="DD1" s="22" t="s">
        <v>124</v>
      </c>
      <c r="DE1" s="22" t="s">
        <v>125</v>
      </c>
      <c r="DF1" s="22" t="s">
        <v>126</v>
      </c>
      <c r="DG1" s="22" t="s">
        <v>127</v>
      </c>
      <c r="DH1" s="22" t="s">
        <v>128</v>
      </c>
      <c r="DI1" s="22" t="s">
        <v>129</v>
      </c>
      <c r="DJ1" s="22" t="s">
        <v>130</v>
      </c>
      <c r="DK1" s="22" t="s">
        <v>131</v>
      </c>
      <c r="DL1" s="22" t="s">
        <v>132</v>
      </c>
      <c r="DM1" s="22" t="s">
        <v>133</v>
      </c>
      <c r="DN1" s="22" t="s">
        <v>134</v>
      </c>
      <c r="DO1" s="22" t="s">
        <v>135</v>
      </c>
      <c r="DP1" s="22" t="s">
        <v>136</v>
      </c>
      <c r="DQ1" s="22" t="s">
        <v>137</v>
      </c>
      <c r="DR1" s="22" t="s">
        <v>138</v>
      </c>
      <c r="DS1" s="22" t="s">
        <v>139</v>
      </c>
      <c r="DT1" s="22" t="s">
        <v>140</v>
      </c>
      <c r="DU1" s="22" t="s">
        <v>141</v>
      </c>
      <c r="DV1" s="22" t="s">
        <v>142</v>
      </c>
      <c r="DW1" s="22" t="s">
        <v>143</v>
      </c>
      <c r="DX1" s="22" t="s">
        <v>144</v>
      </c>
      <c r="DY1" s="22" t="s">
        <v>145</v>
      </c>
      <c r="DZ1" s="22" t="s">
        <v>146</v>
      </c>
      <c r="EA1" s="22" t="s">
        <v>147</v>
      </c>
      <c r="EB1" s="22" t="s">
        <v>148</v>
      </c>
      <c r="EC1" s="22" t="s">
        <v>149</v>
      </c>
      <c r="ED1" s="22" t="s">
        <v>150</v>
      </c>
      <c r="EE1" s="22" t="s">
        <v>151</v>
      </c>
      <c r="EF1" s="22" t="s">
        <v>152</v>
      </c>
      <c r="EG1" s="22" t="s">
        <v>153</v>
      </c>
      <c r="EH1" s="22" t="s">
        <v>154</v>
      </c>
      <c r="EI1" s="22" t="s">
        <v>155</v>
      </c>
      <c r="EJ1" s="22" t="s">
        <v>156</v>
      </c>
      <c r="EK1" s="22" t="s">
        <v>157</v>
      </c>
      <c r="EL1" s="22" t="s">
        <v>158</v>
      </c>
      <c r="EM1" s="22" t="s">
        <v>159</v>
      </c>
      <c r="EN1" s="22" t="s">
        <v>160</v>
      </c>
      <c r="EO1" s="22" t="s">
        <v>161</v>
      </c>
      <c r="EP1" s="22" t="s">
        <v>162</v>
      </c>
      <c r="EQ1" s="22" t="s">
        <v>163</v>
      </c>
      <c r="ER1" s="22" t="s">
        <v>164</v>
      </c>
      <c r="ES1" s="22" t="s">
        <v>165</v>
      </c>
      <c r="ET1" s="22" t="s">
        <v>166</v>
      </c>
      <c r="EU1" s="22" t="s">
        <v>167</v>
      </c>
      <c r="EV1" s="22" t="s">
        <v>168</v>
      </c>
      <c r="EW1" s="22" t="s">
        <v>169</v>
      </c>
      <c r="EX1" s="22" t="s">
        <v>170</v>
      </c>
      <c r="EY1" s="22" t="s">
        <v>171</v>
      </c>
      <c r="EZ1" s="22" t="s">
        <v>172</v>
      </c>
      <c r="FA1" s="22" t="s">
        <v>173</v>
      </c>
      <c r="FB1" s="22" t="s">
        <v>174</v>
      </c>
      <c r="FC1" s="22" t="s">
        <v>175</v>
      </c>
      <c r="FD1" s="22" t="s">
        <v>176</v>
      </c>
      <c r="FE1" s="22" t="s">
        <v>177</v>
      </c>
      <c r="FF1" s="22" t="s">
        <v>178</v>
      </c>
      <c r="FG1" s="22" t="s">
        <v>179</v>
      </c>
      <c r="FH1" s="22" t="s">
        <v>180</v>
      </c>
      <c r="FI1" s="22" t="s">
        <v>181</v>
      </c>
      <c r="FJ1" s="22" t="s">
        <v>182</v>
      </c>
      <c r="FK1" s="22" t="s">
        <v>183</v>
      </c>
      <c r="FL1" s="22" t="s">
        <v>184</v>
      </c>
      <c r="FM1" s="22" t="s">
        <v>185</v>
      </c>
      <c r="FN1" s="22" t="s">
        <v>186</v>
      </c>
      <c r="FO1" s="22" t="s">
        <v>187</v>
      </c>
      <c r="FP1" s="22" t="s">
        <v>188</v>
      </c>
      <c r="FQ1" s="22" t="s">
        <v>189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EE28-1504-4F4C-8817-6284051FFC38}">
  <sheetPr codeName="Sheet4"/>
  <dimension ref="A1:HI1"/>
  <sheetViews>
    <sheetView workbookViewId="0">
      <selection activeCell="C3" sqref="C3"/>
    </sheetView>
  </sheetViews>
  <sheetFormatPr defaultRowHeight="14.5" x14ac:dyDescent="0.35"/>
  <cols>
    <col min="1" max="1" width="12.7265625" style="22" bestFit="1" customWidth="1"/>
    <col min="2" max="2" width="11.90625" style="22" bestFit="1" customWidth="1"/>
    <col min="3" max="3" width="12" style="22" bestFit="1" customWidth="1"/>
    <col min="4" max="4" width="16.7265625" style="22" bestFit="1" customWidth="1"/>
    <col min="5" max="5" width="15.26953125" style="22" bestFit="1" customWidth="1"/>
    <col min="6" max="6" width="9.7265625" style="22" bestFit="1" customWidth="1"/>
    <col min="7" max="7" width="12.26953125" style="22" bestFit="1" customWidth="1"/>
    <col min="8" max="8" width="14.08984375" style="22" bestFit="1" customWidth="1"/>
    <col min="9" max="9" width="11.6328125" style="22" bestFit="1" customWidth="1"/>
    <col min="10" max="10" width="19.1796875" style="22" bestFit="1" customWidth="1"/>
    <col min="11" max="11" width="14.1796875" style="22" bestFit="1" customWidth="1"/>
    <col min="12" max="12" width="9.36328125" style="22" bestFit="1" customWidth="1"/>
    <col min="13" max="13" width="21.08984375" style="22" bestFit="1" customWidth="1"/>
    <col min="14" max="14" width="18" style="22" bestFit="1" customWidth="1"/>
    <col min="15" max="15" width="14" style="22" bestFit="1" customWidth="1"/>
    <col min="16" max="16" width="17.36328125" style="22" bestFit="1" customWidth="1"/>
    <col min="17" max="18" width="18" style="22" bestFit="1" customWidth="1"/>
    <col min="19" max="19" width="12.7265625" style="22" bestFit="1" customWidth="1"/>
    <col min="20" max="20" width="21.26953125" style="22" bestFit="1" customWidth="1"/>
    <col min="21" max="22" width="18" style="22" bestFit="1" customWidth="1"/>
    <col min="23" max="23" width="20" style="22" bestFit="1" customWidth="1"/>
    <col min="24" max="24" width="11.26953125" style="22" bestFit="1" customWidth="1"/>
    <col min="25" max="25" width="16.81640625" style="22" bestFit="1" customWidth="1"/>
    <col min="26" max="26" width="18.81640625" style="22" bestFit="1" customWidth="1"/>
    <col min="27" max="27" width="10.81640625" style="22" bestFit="1" customWidth="1"/>
    <col min="28" max="28" width="37.81640625" style="22" bestFit="1" customWidth="1"/>
    <col min="29" max="29" width="20.1796875" style="22" bestFit="1" customWidth="1"/>
    <col min="30" max="30" width="15.6328125" style="22" bestFit="1" customWidth="1"/>
    <col min="31" max="31" width="10.26953125" style="22" bestFit="1" customWidth="1"/>
    <col min="32" max="32" width="22" style="22" bestFit="1" customWidth="1"/>
    <col min="33" max="33" width="18" style="22" bestFit="1" customWidth="1"/>
    <col min="34" max="34" width="29.7265625" style="22" bestFit="1" customWidth="1"/>
    <col min="35" max="35" width="8" style="22" bestFit="1" customWidth="1"/>
    <col min="36" max="36" width="17.81640625" style="22" bestFit="1" customWidth="1"/>
    <col min="37" max="37" width="15.90625" style="22" bestFit="1" customWidth="1"/>
    <col min="38" max="38" width="23.90625" style="22" bestFit="1" customWidth="1"/>
    <col min="39" max="39" width="17.1796875" style="22" bestFit="1" customWidth="1"/>
    <col min="40" max="40" width="13.6328125" style="22" bestFit="1" customWidth="1"/>
    <col min="41" max="41" width="14.81640625" style="22" bestFit="1" customWidth="1"/>
    <col min="42" max="42" width="10.6328125" style="22" bestFit="1" customWidth="1"/>
    <col min="43" max="43" width="8.7265625" style="22"/>
    <col min="44" max="44" width="23.90625" style="22" bestFit="1" customWidth="1"/>
    <col min="45" max="45" width="12.1796875" style="22" bestFit="1" customWidth="1"/>
    <col min="46" max="47" width="10.90625" style="22" bestFit="1" customWidth="1"/>
    <col min="48" max="48" width="27.453125" style="22" bestFit="1" customWidth="1"/>
    <col min="49" max="51" width="18.453125" style="22" bestFit="1" customWidth="1"/>
    <col min="52" max="52" width="43.26953125" style="22" bestFit="1" customWidth="1"/>
    <col min="53" max="56" width="18.453125" style="22" bestFit="1" customWidth="1"/>
    <col min="57" max="58" width="19.453125" style="22" bestFit="1" customWidth="1"/>
    <col min="59" max="59" width="31" style="22" bestFit="1" customWidth="1"/>
    <col min="60" max="74" width="19.453125" style="22" bestFit="1" customWidth="1"/>
    <col min="75" max="75" width="34.08984375" style="22" bestFit="1" customWidth="1"/>
    <col min="76" max="79" width="19.453125" style="22" bestFit="1" customWidth="1"/>
    <col min="80" max="80" width="16.6328125" style="22" bestFit="1" customWidth="1"/>
    <col min="81" max="81" width="28.36328125" style="22" bestFit="1" customWidth="1"/>
    <col min="82" max="82" width="16.6328125" style="22" bestFit="1" customWidth="1"/>
    <col min="83" max="83" width="28.36328125" style="22" bestFit="1" customWidth="1"/>
    <col min="84" max="84" width="16.6328125" style="22" bestFit="1" customWidth="1"/>
    <col min="85" max="85" width="28.36328125" style="22" bestFit="1" customWidth="1"/>
    <col min="86" max="86" width="16.6328125" style="22" bestFit="1" customWidth="1"/>
    <col min="87" max="87" width="28.36328125" style="22" bestFit="1" customWidth="1"/>
    <col min="88" max="88" width="16.6328125" style="22" bestFit="1" customWidth="1"/>
    <col min="89" max="89" width="28.36328125" style="22" bestFit="1" customWidth="1"/>
    <col min="90" max="90" width="16.6328125" style="22" bestFit="1" customWidth="1"/>
    <col min="91" max="91" width="28.36328125" style="22" bestFit="1" customWidth="1"/>
    <col min="92" max="97" width="13.6328125" style="22" bestFit="1" customWidth="1"/>
    <col min="98" max="103" width="17.36328125" style="22" bestFit="1" customWidth="1"/>
    <col min="104" max="104" width="18.81640625" style="22" bestFit="1" customWidth="1"/>
    <col min="105" max="105" width="18.26953125" style="22" bestFit="1" customWidth="1"/>
    <col min="106" max="106" width="23.6328125" style="22" bestFit="1" customWidth="1"/>
    <col min="107" max="107" width="27" style="22" bestFit="1" customWidth="1"/>
    <col min="108" max="108" width="27.36328125" style="22" bestFit="1" customWidth="1"/>
    <col min="109" max="109" width="28.81640625" style="22" bestFit="1" customWidth="1"/>
    <col min="110" max="110" width="31.6328125" style="22" bestFit="1" customWidth="1"/>
    <col min="111" max="111" width="10.26953125" style="22" bestFit="1" customWidth="1"/>
    <col min="112" max="112" width="9.1796875" style="22" bestFit="1" customWidth="1"/>
    <col min="113" max="113" width="11.36328125" style="22" bestFit="1" customWidth="1"/>
    <col min="114" max="114" width="23.08984375" style="22" bestFit="1" customWidth="1"/>
    <col min="115" max="115" width="12.7265625" style="22" bestFit="1" customWidth="1"/>
    <col min="116" max="116" width="20.81640625" style="22" bestFit="1" customWidth="1"/>
    <col min="117" max="117" width="21.26953125" style="22" bestFit="1" customWidth="1"/>
    <col min="118" max="126" width="20.453125" style="22" bestFit="1" customWidth="1"/>
    <col min="127" max="137" width="21.54296875" style="22" bestFit="1" customWidth="1"/>
    <col min="138" max="143" width="15.6328125" style="22" bestFit="1" customWidth="1"/>
    <col min="144" max="146" width="13.6328125" style="22" bestFit="1" customWidth="1"/>
    <col min="147" max="157" width="14.6328125" style="22" bestFit="1" customWidth="1"/>
    <col min="158" max="163" width="19.36328125" style="22" bestFit="1" customWidth="1"/>
    <col min="164" max="166" width="17.36328125" style="22" bestFit="1" customWidth="1"/>
    <col min="167" max="177" width="18.36328125" style="22" bestFit="1" customWidth="1"/>
    <col min="178" max="178" width="18.7265625" style="22" bestFit="1" customWidth="1"/>
    <col min="179" max="179" width="30.453125" style="22" bestFit="1" customWidth="1"/>
    <col min="180" max="180" width="18.7265625" style="22" bestFit="1" customWidth="1"/>
    <col min="181" max="181" width="30.453125" style="22" bestFit="1" customWidth="1"/>
    <col min="182" max="182" width="18.7265625" style="22" bestFit="1" customWidth="1"/>
    <col min="183" max="183" width="30.453125" style="22" bestFit="1" customWidth="1"/>
    <col min="184" max="184" width="18.7265625" style="22" bestFit="1" customWidth="1"/>
    <col min="185" max="185" width="30.453125" style="22" bestFit="1" customWidth="1"/>
    <col min="186" max="186" width="18.7265625" style="22" bestFit="1" customWidth="1"/>
    <col min="187" max="187" width="30.453125" style="22" bestFit="1" customWidth="1"/>
    <col min="188" max="188" width="18.7265625" style="22" bestFit="1" customWidth="1"/>
    <col min="189" max="189" width="30.453125" style="22" bestFit="1" customWidth="1"/>
    <col min="190" max="190" width="16.6328125" style="22" bestFit="1" customWidth="1"/>
    <col min="191" max="191" width="28.36328125" style="22" bestFit="1" customWidth="1"/>
    <col min="192" max="192" width="16.6328125" style="22" bestFit="1" customWidth="1"/>
    <col min="193" max="193" width="28.36328125" style="22" bestFit="1" customWidth="1"/>
    <col min="194" max="194" width="16.6328125" style="22" bestFit="1" customWidth="1"/>
    <col min="195" max="195" width="28.36328125" style="22" bestFit="1" customWidth="1"/>
    <col min="196" max="196" width="17.7265625" style="22" bestFit="1" customWidth="1"/>
    <col min="197" max="197" width="29.453125" style="22" bestFit="1" customWidth="1"/>
    <col min="198" max="198" width="17.7265625" style="22" bestFit="1" customWidth="1"/>
    <col min="199" max="199" width="29.453125" style="22" bestFit="1" customWidth="1"/>
    <col min="200" max="200" width="17.7265625" style="22" bestFit="1" customWidth="1"/>
    <col min="201" max="201" width="29.453125" style="22" bestFit="1" customWidth="1"/>
    <col min="202" max="202" width="17.7265625" style="22" bestFit="1" customWidth="1"/>
    <col min="203" max="203" width="29.453125" style="22" bestFit="1" customWidth="1"/>
    <col min="204" max="204" width="17.7265625" style="22" bestFit="1" customWidth="1"/>
    <col min="205" max="205" width="29.453125" style="22" bestFit="1" customWidth="1"/>
    <col min="206" max="206" width="17.7265625" style="22" bestFit="1" customWidth="1"/>
    <col min="207" max="207" width="29.453125" style="22" bestFit="1" customWidth="1"/>
    <col min="208" max="208" width="17.7265625" style="22" bestFit="1" customWidth="1"/>
    <col min="209" max="209" width="29.453125" style="22" bestFit="1" customWidth="1"/>
    <col min="210" max="210" width="17.7265625" style="22" bestFit="1" customWidth="1"/>
    <col min="211" max="211" width="29.453125" style="22" bestFit="1" customWidth="1"/>
    <col min="212" max="212" width="17.7265625" style="22" bestFit="1" customWidth="1"/>
    <col min="213" max="213" width="29.453125" style="22" bestFit="1" customWidth="1"/>
    <col min="214" max="214" width="17.7265625" style="22" bestFit="1" customWidth="1"/>
    <col min="215" max="215" width="29.453125" style="22" bestFit="1" customWidth="1"/>
    <col min="216" max="216" width="17.7265625" style="22" bestFit="1" customWidth="1"/>
    <col min="217" max="217" width="29.453125" style="22" bestFit="1" customWidth="1"/>
    <col min="218" max="16384" width="8.7265625" style="22"/>
  </cols>
  <sheetData>
    <row r="1" spans="1:217" x14ac:dyDescent="0.35">
      <c r="A1" s="22" t="s">
        <v>17</v>
      </c>
      <c r="B1" s="22" t="s">
        <v>18</v>
      </c>
      <c r="C1" s="22" t="s">
        <v>190</v>
      </c>
      <c r="D1" s="22" t="s">
        <v>105</v>
      </c>
      <c r="E1" s="22" t="s">
        <v>19</v>
      </c>
      <c r="F1" s="22" t="s">
        <v>21</v>
      </c>
      <c r="G1" s="22" t="s">
        <v>22</v>
      </c>
      <c r="H1" s="22" t="s">
        <v>191</v>
      </c>
      <c r="I1" s="22" t="s">
        <v>24</v>
      </c>
      <c r="J1" s="22" t="s">
        <v>37</v>
      </c>
      <c r="K1" s="22" t="s">
        <v>192</v>
      </c>
      <c r="L1" s="22" t="s">
        <v>193</v>
      </c>
      <c r="M1" s="22" t="s">
        <v>31</v>
      </c>
      <c r="N1" s="22" t="s">
        <v>30</v>
      </c>
      <c r="O1" s="22" t="s">
        <v>94</v>
      </c>
      <c r="P1" s="22" t="s">
        <v>95</v>
      </c>
      <c r="Q1" s="22" t="s">
        <v>96</v>
      </c>
      <c r="R1" s="22" t="s">
        <v>35</v>
      </c>
      <c r="S1" s="22" t="s">
        <v>36</v>
      </c>
      <c r="T1" s="22" t="s">
        <v>99</v>
      </c>
      <c r="U1" s="22" t="s">
        <v>100</v>
      </c>
      <c r="V1" s="22" t="s">
        <v>101</v>
      </c>
      <c r="W1" s="22" t="s">
        <v>102</v>
      </c>
      <c r="X1" s="22" t="s">
        <v>103</v>
      </c>
      <c r="Y1" s="22" t="s">
        <v>39</v>
      </c>
      <c r="Z1" s="22" t="s">
        <v>194</v>
      </c>
      <c r="AA1" s="22" t="s">
        <v>106</v>
      </c>
      <c r="AB1" s="22" t="s">
        <v>107</v>
      </c>
      <c r="AC1" s="22" t="s">
        <v>108</v>
      </c>
      <c r="AD1" s="22" t="s">
        <v>109</v>
      </c>
      <c r="AE1" s="22" t="s">
        <v>110</v>
      </c>
      <c r="AF1" s="22" t="s">
        <v>111</v>
      </c>
      <c r="AG1" s="22" t="s">
        <v>40</v>
      </c>
      <c r="AH1" s="22" t="s">
        <v>41</v>
      </c>
      <c r="AI1" s="22" t="s">
        <v>42</v>
      </c>
      <c r="AJ1" s="22" t="s">
        <v>43</v>
      </c>
      <c r="AK1" s="22" t="s">
        <v>116</v>
      </c>
      <c r="AL1" s="22" t="s">
        <v>117</v>
      </c>
      <c r="AM1" s="22" t="s">
        <v>118</v>
      </c>
      <c r="AN1" s="22" t="s">
        <v>119</v>
      </c>
      <c r="AO1" s="22" t="s">
        <v>23</v>
      </c>
      <c r="AP1" s="22" t="s">
        <v>121</v>
      </c>
      <c r="AQ1" s="22" t="s">
        <v>122</v>
      </c>
      <c r="AR1" s="22" t="s">
        <v>123</v>
      </c>
      <c r="AS1" s="22" t="s">
        <v>124</v>
      </c>
      <c r="AT1" s="22" t="s">
        <v>49</v>
      </c>
      <c r="AU1" s="22" t="s">
        <v>50</v>
      </c>
      <c r="AV1" s="22" t="s">
        <v>51</v>
      </c>
      <c r="AW1" s="22" t="s">
        <v>52</v>
      </c>
      <c r="AX1" s="22" t="s">
        <v>53</v>
      </c>
      <c r="AY1" s="22" t="s">
        <v>54</v>
      </c>
      <c r="AZ1" s="22" t="s">
        <v>55</v>
      </c>
      <c r="BA1" s="22" t="s">
        <v>56</v>
      </c>
      <c r="BB1" s="22" t="s">
        <v>57</v>
      </c>
      <c r="BC1" s="22" t="s">
        <v>58</v>
      </c>
      <c r="BD1" s="22" t="s">
        <v>59</v>
      </c>
      <c r="BE1" s="22" t="s">
        <v>60</v>
      </c>
      <c r="BF1" s="22" t="s">
        <v>61</v>
      </c>
      <c r="BG1" s="22" t="s">
        <v>62</v>
      </c>
      <c r="BH1" s="22" t="s">
        <v>63</v>
      </c>
      <c r="BI1" s="22" t="s">
        <v>64</v>
      </c>
      <c r="BJ1" s="22" t="s">
        <v>65</v>
      </c>
      <c r="BK1" s="22" t="s">
        <v>66</v>
      </c>
      <c r="BL1" s="22" t="s">
        <v>143</v>
      </c>
      <c r="BM1" s="22" t="s">
        <v>144</v>
      </c>
      <c r="BN1" s="22" t="s">
        <v>145</v>
      </c>
      <c r="BO1" s="22" t="s">
        <v>146</v>
      </c>
      <c r="BP1" s="22" t="s">
        <v>147</v>
      </c>
      <c r="BQ1" s="22" t="s">
        <v>148</v>
      </c>
      <c r="BR1" s="22" t="s">
        <v>149</v>
      </c>
      <c r="BS1" s="22" t="s">
        <v>150</v>
      </c>
      <c r="BT1" s="22" t="s">
        <v>151</v>
      </c>
      <c r="BU1" s="22" t="s">
        <v>152</v>
      </c>
      <c r="BV1" s="22" t="s">
        <v>153</v>
      </c>
      <c r="BW1" s="22" t="s">
        <v>154</v>
      </c>
      <c r="BX1" s="22" t="s">
        <v>155</v>
      </c>
      <c r="BY1" s="22" t="s">
        <v>156</v>
      </c>
      <c r="BZ1" s="22" t="s">
        <v>157</v>
      </c>
      <c r="CA1" s="22" t="s">
        <v>158</v>
      </c>
      <c r="CB1" s="22" t="s">
        <v>67</v>
      </c>
      <c r="CC1" s="22" t="s">
        <v>68</v>
      </c>
      <c r="CD1" s="22" t="s">
        <v>69</v>
      </c>
      <c r="CE1" s="22" t="s">
        <v>70</v>
      </c>
      <c r="CF1" s="22" t="s">
        <v>71</v>
      </c>
      <c r="CG1" s="22" t="s">
        <v>72</v>
      </c>
      <c r="CH1" s="22" t="s">
        <v>73</v>
      </c>
      <c r="CI1" s="22" t="s">
        <v>74</v>
      </c>
      <c r="CJ1" s="22" t="s">
        <v>75</v>
      </c>
      <c r="CK1" s="22" t="s">
        <v>76</v>
      </c>
      <c r="CL1" s="22" t="s">
        <v>77</v>
      </c>
      <c r="CM1" s="22" t="s">
        <v>78</v>
      </c>
      <c r="CN1" s="22" t="s">
        <v>79</v>
      </c>
      <c r="CO1" s="22" t="s">
        <v>80</v>
      </c>
      <c r="CP1" s="22" t="s">
        <v>81</v>
      </c>
      <c r="CQ1" s="22" t="s">
        <v>82</v>
      </c>
      <c r="CR1" s="22" t="s">
        <v>83</v>
      </c>
      <c r="CS1" s="22" t="s">
        <v>84</v>
      </c>
      <c r="CT1" s="22" t="s">
        <v>85</v>
      </c>
      <c r="CU1" s="22" t="s">
        <v>86</v>
      </c>
      <c r="CV1" s="22" t="s">
        <v>87</v>
      </c>
      <c r="CW1" s="22" t="s">
        <v>88</v>
      </c>
      <c r="CX1" s="22" t="s">
        <v>89</v>
      </c>
      <c r="CY1" s="22" t="s">
        <v>90</v>
      </c>
      <c r="CZ1" s="22" t="s">
        <v>91</v>
      </c>
      <c r="DA1" s="22" t="s">
        <v>184</v>
      </c>
      <c r="DB1" s="22" t="s">
        <v>185</v>
      </c>
      <c r="DC1" s="22" t="s">
        <v>186</v>
      </c>
      <c r="DD1" s="22" t="s">
        <v>187</v>
      </c>
      <c r="DE1" s="22" t="s">
        <v>188</v>
      </c>
      <c r="DF1" s="22" t="s">
        <v>189</v>
      </c>
      <c r="DG1" s="22" t="s">
        <v>195</v>
      </c>
      <c r="DH1" s="22" t="s">
        <v>196</v>
      </c>
      <c r="DI1" s="22" t="s">
        <v>197</v>
      </c>
      <c r="DJ1" s="22" t="s">
        <v>92</v>
      </c>
      <c r="DK1" s="22" t="s">
        <v>198</v>
      </c>
      <c r="DL1" s="22" t="s">
        <v>183</v>
      </c>
      <c r="DM1" s="22" t="s">
        <v>199</v>
      </c>
      <c r="DN1" s="22" t="s">
        <v>127</v>
      </c>
      <c r="DO1" s="22" t="s">
        <v>128</v>
      </c>
      <c r="DP1" s="22" t="s">
        <v>129</v>
      </c>
      <c r="DQ1" s="22" t="s">
        <v>130</v>
      </c>
      <c r="DR1" s="22" t="s">
        <v>131</v>
      </c>
      <c r="DS1" s="22" t="s">
        <v>132</v>
      </c>
      <c r="DT1" s="22" t="s">
        <v>133</v>
      </c>
      <c r="DU1" s="22" t="s">
        <v>134</v>
      </c>
      <c r="DV1" s="22" t="s">
        <v>135</v>
      </c>
      <c r="DW1" s="22" t="s">
        <v>136</v>
      </c>
      <c r="DX1" s="22" t="s">
        <v>137</v>
      </c>
      <c r="DY1" s="22" t="s">
        <v>138</v>
      </c>
      <c r="DZ1" s="22" t="s">
        <v>139</v>
      </c>
      <c r="EA1" s="22" t="s">
        <v>140</v>
      </c>
      <c r="EB1" s="22" t="s">
        <v>141</v>
      </c>
      <c r="EC1" s="22" t="s">
        <v>142</v>
      </c>
      <c r="ED1" s="22" t="s">
        <v>200</v>
      </c>
      <c r="EE1" s="22" t="s">
        <v>201</v>
      </c>
      <c r="EF1" s="22" t="s">
        <v>202</v>
      </c>
      <c r="EG1" s="22" t="s">
        <v>203</v>
      </c>
      <c r="EH1" s="22" t="s">
        <v>171</v>
      </c>
      <c r="EI1" s="22" t="s">
        <v>172</v>
      </c>
      <c r="EJ1" s="22" t="s">
        <v>173</v>
      </c>
      <c r="EK1" s="22" t="s">
        <v>174</v>
      </c>
      <c r="EL1" s="22" t="s">
        <v>175</v>
      </c>
      <c r="EM1" s="22" t="s">
        <v>176</v>
      </c>
      <c r="EN1" s="22" t="s">
        <v>204</v>
      </c>
      <c r="EO1" s="22" t="s">
        <v>205</v>
      </c>
      <c r="EP1" s="22" t="s">
        <v>206</v>
      </c>
      <c r="EQ1" s="22" t="s">
        <v>207</v>
      </c>
      <c r="ER1" s="22" t="s">
        <v>208</v>
      </c>
      <c r="ES1" s="22" t="s">
        <v>209</v>
      </c>
      <c r="ET1" s="22" t="s">
        <v>210</v>
      </c>
      <c r="EU1" s="22" t="s">
        <v>211</v>
      </c>
      <c r="EV1" s="22" t="s">
        <v>212</v>
      </c>
      <c r="EW1" s="22" t="s">
        <v>213</v>
      </c>
      <c r="EX1" s="22" t="s">
        <v>214</v>
      </c>
      <c r="EY1" s="22" t="s">
        <v>215</v>
      </c>
      <c r="EZ1" s="22" t="s">
        <v>216</v>
      </c>
      <c r="FA1" s="22" t="s">
        <v>217</v>
      </c>
      <c r="FB1" s="22" t="s">
        <v>177</v>
      </c>
      <c r="FC1" s="22" t="s">
        <v>178</v>
      </c>
      <c r="FD1" s="22" t="s">
        <v>179</v>
      </c>
      <c r="FE1" s="22" t="s">
        <v>180</v>
      </c>
      <c r="FF1" s="22" t="s">
        <v>181</v>
      </c>
      <c r="FG1" s="22" t="s">
        <v>182</v>
      </c>
      <c r="FH1" s="22" t="s">
        <v>218</v>
      </c>
      <c r="FI1" s="22" t="s">
        <v>219</v>
      </c>
      <c r="FJ1" s="22" t="s">
        <v>220</v>
      </c>
      <c r="FK1" s="22" t="s">
        <v>221</v>
      </c>
      <c r="FL1" s="22" t="s">
        <v>222</v>
      </c>
      <c r="FM1" s="22" t="s">
        <v>223</v>
      </c>
      <c r="FN1" s="22" t="s">
        <v>224</v>
      </c>
      <c r="FO1" s="22" t="s">
        <v>225</v>
      </c>
      <c r="FP1" s="22" t="s">
        <v>226</v>
      </c>
      <c r="FQ1" s="22" t="s">
        <v>227</v>
      </c>
      <c r="FR1" s="22" t="s">
        <v>228</v>
      </c>
      <c r="FS1" s="22" t="s">
        <v>229</v>
      </c>
      <c r="FT1" s="22" t="s">
        <v>230</v>
      </c>
      <c r="FU1" s="22" t="s">
        <v>231</v>
      </c>
      <c r="FV1" s="22" t="s">
        <v>159</v>
      </c>
      <c r="FW1" s="22" t="s">
        <v>160</v>
      </c>
      <c r="FX1" s="22" t="s">
        <v>161</v>
      </c>
      <c r="FY1" s="22" t="s">
        <v>162</v>
      </c>
      <c r="FZ1" s="22" t="s">
        <v>163</v>
      </c>
      <c r="GA1" s="22" t="s">
        <v>164</v>
      </c>
      <c r="GB1" s="22" t="s">
        <v>165</v>
      </c>
      <c r="GC1" s="22" t="s">
        <v>166</v>
      </c>
      <c r="GD1" s="22" t="s">
        <v>167</v>
      </c>
      <c r="GE1" s="22" t="s">
        <v>168</v>
      </c>
      <c r="GF1" s="22" t="s">
        <v>169</v>
      </c>
      <c r="GG1" s="22" t="s">
        <v>170</v>
      </c>
      <c r="GH1" s="22" t="s">
        <v>232</v>
      </c>
      <c r="GI1" s="22" t="s">
        <v>233</v>
      </c>
      <c r="GJ1" s="22" t="s">
        <v>234</v>
      </c>
      <c r="GK1" s="22" t="s">
        <v>235</v>
      </c>
      <c r="GL1" s="22" t="s">
        <v>236</v>
      </c>
      <c r="GM1" s="22" t="s">
        <v>237</v>
      </c>
      <c r="GN1" s="22" t="s">
        <v>238</v>
      </c>
      <c r="GO1" s="22" t="s">
        <v>239</v>
      </c>
      <c r="GP1" s="22" t="s">
        <v>240</v>
      </c>
      <c r="GQ1" s="22" t="s">
        <v>241</v>
      </c>
      <c r="GR1" s="22" t="s">
        <v>242</v>
      </c>
      <c r="GS1" s="22" t="s">
        <v>243</v>
      </c>
      <c r="GT1" s="22" t="s">
        <v>244</v>
      </c>
      <c r="GU1" s="22" t="s">
        <v>245</v>
      </c>
      <c r="GV1" s="22" t="s">
        <v>246</v>
      </c>
      <c r="GW1" s="22" t="s">
        <v>247</v>
      </c>
      <c r="GX1" s="22" t="s">
        <v>248</v>
      </c>
      <c r="GY1" s="22" t="s">
        <v>249</v>
      </c>
      <c r="GZ1" s="22" t="s">
        <v>250</v>
      </c>
      <c r="HA1" s="22" t="s">
        <v>251</v>
      </c>
      <c r="HB1" s="22" t="s">
        <v>252</v>
      </c>
      <c r="HC1" s="22" t="s">
        <v>253</v>
      </c>
      <c r="HD1" s="22" t="s">
        <v>254</v>
      </c>
      <c r="HE1" s="22" t="s">
        <v>255</v>
      </c>
      <c r="HF1" s="22" t="s">
        <v>256</v>
      </c>
      <c r="HG1" s="22" t="s">
        <v>257</v>
      </c>
      <c r="HH1" s="22" t="s">
        <v>258</v>
      </c>
      <c r="HI1" s="22" t="s">
        <v>259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54E4-A9CC-4070-B80C-CB8D065A12DA}">
  <sheetPr codeName="Sheet5"/>
  <dimension ref="A1"/>
  <sheetViews>
    <sheetView workbookViewId="0">
      <selection activeCell="L16" sqref="L16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7312-8B9F-46CD-86A3-8495A2176116}">
  <sheetPr codeName="Sheet6"/>
  <dimension ref="B2:D3"/>
  <sheetViews>
    <sheetView tabSelected="1" topLeftCell="A2" workbookViewId="0">
      <selection activeCell="C3" sqref="C3"/>
    </sheetView>
  </sheetViews>
  <sheetFormatPr defaultRowHeight="14.5" x14ac:dyDescent="0.35"/>
  <cols>
    <col min="1" max="1" width="8.7265625" style="15"/>
    <col min="2" max="2" width="78.1796875" style="15" customWidth="1"/>
    <col min="3" max="3" width="8.7265625" style="15"/>
    <col min="4" max="4" width="71.90625" style="15" customWidth="1"/>
    <col min="5" max="16384" width="8.7265625" style="15"/>
  </cols>
  <sheetData>
    <row r="2" spans="2:4" x14ac:dyDescent="0.35">
      <c r="B2" s="14" t="s">
        <v>11</v>
      </c>
      <c r="D2" s="14" t="s">
        <v>12</v>
      </c>
    </row>
    <row r="3" spans="2:4" ht="246.5" x14ac:dyDescent="0.35">
      <c r="B3" s="16" t="s">
        <v>277</v>
      </c>
      <c r="D3" s="17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COMPARISON TOOL</vt:lpstr>
      <vt:lpstr>SUMMARY SHEET</vt:lpstr>
      <vt:lpstr>EPS EXTRACT</vt:lpstr>
      <vt:lpstr>DTVCOMP EXTRACT</vt:lpstr>
      <vt:lpstr>COMPARISON HIGH LEVEL</vt:lpstr>
      <vt:lpstr>DATA FETCH 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Bhattacharjee, Arijit</dc:creator>
  <cp:lastModifiedBy>Bhattacharjee, Arijit</cp:lastModifiedBy>
  <dcterms:created xsi:type="dcterms:W3CDTF">2023-05-31T08:46:57Z</dcterms:created>
  <dcterms:modified xsi:type="dcterms:W3CDTF">2023-06-02T10:55:55Z</dcterms:modified>
</cp:coreProperties>
</file>