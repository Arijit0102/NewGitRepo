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.y.bhattacharjee\Pictures\CSF COMPARISON\New folder\"/>
    </mc:Choice>
  </mc:AlternateContent>
  <xr:revisionPtr revIDLastSave="0" documentId="13_ncr:1_{51408EB9-D634-4829-AE17-8C070012649C}" xr6:coauthVersionLast="47" xr6:coauthVersionMax="47" xr10:uidLastSave="{00000000-0000-0000-0000-000000000000}"/>
  <bookViews>
    <workbookView xWindow="-110" yWindow="-110" windowWidth="19420" windowHeight="10300" xr2:uid="{525D80CA-7746-42D4-BB61-B256E32A69E8}"/>
  </bookViews>
  <sheets>
    <sheet name="COMPARISON TOOL" sheetId="1" r:id="rId1"/>
    <sheet name="SUMMARY SHEET" sheetId="2" r:id="rId2"/>
    <sheet name="EPS EXTRACT" sheetId="3" r:id="rId3"/>
    <sheet name="DTVCOMP EXTRACT" sheetId="4" r:id="rId4"/>
    <sheet name="COMPARISON HIGH LEVEL" sheetId="5" r:id="rId5"/>
    <sheet name="DATA FETCH QUERY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2" l="1"/>
  <c r="C7" i="2"/>
</calcChain>
</file>

<file path=xl/sharedStrings.xml><?xml version="1.0" encoding="utf-8"?>
<sst xmlns="http://schemas.openxmlformats.org/spreadsheetml/2006/main" count="33" uniqueCount="28">
  <si>
    <t>DISCREPANCIES In 1st APR To 10th APR 2023</t>
  </si>
  <si>
    <t>CATEGORY</t>
  </si>
  <si>
    <t>TRANSACTION COUNT</t>
  </si>
  <si>
    <t>REASON</t>
  </si>
  <si>
    <t>Transaction is not available in DTVCOMP but available in EPS:</t>
  </si>
  <si>
    <t>Total Transactions Received from VDAS (1st APR, 15th APR &amp; 30th APR)</t>
  </si>
  <si>
    <t>Missing Transactions from VDAS:</t>
  </si>
  <si>
    <t>Need To Analyze with VDAS Team</t>
  </si>
  <si>
    <t>Common Transactions between EPS &amp; VDAS  (All are Uncreated Transactions)</t>
  </si>
  <si>
    <t>1. 103 Dealers are missing in the Master Agent To Location Classifier
2. 310 Dealers are not yet configured in DTH BEAM/ BULK BEAM Classifier
3. Need To Analyze with VDAS Team</t>
  </si>
  <si>
    <t>Extra Transactions Received From VDAS which is not present in EPS  (All are Uncreated Transactions)</t>
  </si>
  <si>
    <t>APRIL 2023 MONTH CSF COMPARISON</t>
  </si>
  <si>
    <t>TOTAL CREDIT VALUE - EPS</t>
  </si>
  <si>
    <t>TOTAL CREDIT VALUE - DTVCOMP</t>
  </si>
  <si>
    <t>VARIENCE</t>
  </si>
  <si>
    <t>1st APR To 10th APR 2023 MONTH CSF COMPARISON</t>
  </si>
  <si>
    <t>EPS TRX COUNT</t>
  </si>
  <si>
    <t>DTVCOMP TRX COUNT</t>
  </si>
  <si>
    <t>`</t>
  </si>
  <si>
    <t>TOTAL TRX VALUE - EPS</t>
  </si>
  <si>
    <t>TOTAL TRX VALUE - DTVCOMP</t>
  </si>
  <si>
    <t>DTVCOMP QUERY</t>
  </si>
  <si>
    <t>EPS QUERY</t>
  </si>
  <si>
    <t>Select DISTINCT so.ORDERID, st.LINENUMBER, ev.EVENTTYPEID, crt.CREDITTYPEID, st.SUBLINENUMBER, st.VALUE "TRX VALUE", stg.GENERICATTRIBUTE19 "BAN NUMBER", st.GENERICATTRIBUTE29 "PAYMENT TERM", st.GENERICATTRIBUTE4 "PROPERTY ID", 
cr.VALUE "CREDIT VALUE", st.GENERICATTRIBUTE13 "ACCOUNT TYPE", cr.*, st.*, stg.*
from CS_SALESORDER@TC_LINK so, CS_SALESTRANSACTION@TC_LINK st, CS_EVENTTYPE@TC_LINK ev,CS_CREDIT@TC_LINK cr,CS_CREDITTYPE@TC_LINK crt, CS_GASALESTRANSACTION@TC_LINK stg
WHERE so.SALESORDERSEQ=st.SALESORDERSEQ AND so.SALESORDERSEQ=cr.SALESORDERSEQ AND st.SALESTRANSACTIONSEQ=cr.SALESTRANSACTIONSEQ AND ev.REMOVEDATE=TO_DATE('01-JAN-2200','DD-MON-YYYY') AND st.EVENTTYPESEQ=ev.DATATYPESEQ
AND crt.REMOVEDATE=TO_DATE('01-JAN-2200','DD-MON-YYYY') AND cr.CREDITTYPESEQ=crt.DATATYPESEQ AND st.ACCOUNTINGDATE BETWEEN TO_DATE('01-MAR-2023','DD-MON-YYYY') AND TO_DATE('31-MAR-2023','DD-MON-YYYY')
AND st.SALESTRANSACTIONSEQ=stg.SALESTRANSACTIONSEQ AND stg.SALESTRANSACTIONSEQ=cr.SALESTRANSACTIONSEQ AND st.CHANNEL='MDU' AND ev.EVENTTYPEID LIKE '%CSF%';</t>
  </si>
  <si>
    <t>Select DISTINCT so.ORDERID, st.LINENUMBER, st.SUBLINENUMBER, st.GENERICNUMBER2 "BILL NUMBER", st.VALUE "TRX VALUE", st.GENERICATTRIBUTE6 "BAN NUMBER", st.PAYMENTTERMS, st.GENERICATTRIBUTE2 "PROPERTY ID", cr.VALUE "CREDIT VALUE",
st.GENERICATTRIBUTE8 "ACCOUNT TYPE", cr.*, st.*
from CS_SALESORDER so, CS_SALESTRANSACTION st, CS_EVENTTYPE ev,CS_CREDIT cr,CS_CREDITTYPE crt
WHERE so.SALESORDERSEQ=st.SALESORDERSEQ AND so.SALESORDERSEQ=cr.SALESORDERSEQ AND st.SALESTRANSACTIONSEQ=cr.SALESTRANSACTIONSEQ AND ev.REMOVEDATE=TO_DATE('01-JAN-2200','DD-MON-YYYY') AND st.EVENTTYPESEQ=ev.DATATYPESEQ
AND crt.REMOVEDATE=TO_DATE('01-JAN-2200','DD-MON-YYYY') AND cr.CREDITTYPESEQ=crt.DATATYPESEQ AND st.GENERICDATE6 BETWEEN TO_DATE('01-APR-2023','DD-MON-YYYY') AND TO_DATE('10-APR-2023','DD-MON-YYYY')
AND ev.EVENTTYPEID LIKE '%MDU CSF%';</t>
  </si>
  <si>
    <t>CSF COMPARISON TOOL</t>
  </si>
  <si>
    <t>START TIME</t>
  </si>
  <si>
    <t>END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</si>
</sst>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$-409]#,##0.00"/>
    <numFmt numFmtId="165" formatCode="[$-10409]hh:mm:ss\ AM/PM;@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rgb="FF000000"/>
      <name val="Calibri"/>
      <family val="2"/>
    </font>
    <font>
      <b/>
      <sz val="2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333F4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left" vertical="top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2" fillId="5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21" fontId="0" fillId="0" borderId="0" xfId="0" applyNumberFormat="1"/>
    <xf numFmtId="0" fontId="2" fillId="6" borderId="8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0" fillId="0" borderId="0" xfId="0" applyAlignment="1">
      <alignment vertical="top"/>
    </xf>
    <xf numFmtId="0" fontId="3" fillId="3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left" vertical="top" wrapText="1"/>
    </xf>
    <xf numFmtId="0" fontId="0" fillId="0" borderId="2" xfId="0" quotePrefix="1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8" borderId="0" xfId="0" applyFill="1"/>
    <xf numFmtId="0" fontId="3" fillId="3" borderId="2" xfId="0" applyFont="1" applyFill="1" applyBorder="1"/>
    <xf numFmtId="165" fontId="7" fillId="8" borderId="2" xfId="0" applyNumberFormat="1" applyFont="1" applyFill="1" applyBorder="1" applyAlignment="1">
      <alignment horizontal="center" vertical="center"/>
    </xf>
    <xf numFmtId="21" fontId="0" fillId="8" borderId="0" xfId="0" applyNumberFormat="1" applyFill="1"/>
    <xf numFmtId="0" fontId="6" fillId="8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6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4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8</xdr:row>
          <xdr:rowOff>6350</xdr:rowOff>
        </xdr:from>
        <xdr:to>
          <xdr:col>2</xdr:col>
          <xdr:colOff>95250</xdr:colOff>
          <xdr:row>9</xdr:row>
          <xdr:rowOff>88900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8</xdr:row>
          <xdr:rowOff>0</xdr:rowOff>
        </xdr:from>
        <xdr:to>
          <xdr:col>4</xdr:col>
          <xdr:colOff>57150</xdr:colOff>
          <xdr:row>9</xdr:row>
          <xdr:rowOff>82550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520700</xdr:colOff>
          <xdr:row>7</xdr:row>
          <xdr:rowOff>171450</xdr:rowOff>
        </xdr:from>
        <xdr:to>
          <xdr:col>8</xdr:col>
          <xdr:colOff>590550</xdr:colOff>
          <xdr:row>9</xdr:row>
          <xdr:rowOff>69850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DTVCOMP EXTRACT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241300</xdr:colOff>
          <xdr:row>7</xdr:row>
          <xdr:rowOff>177800</xdr:rowOff>
        </xdr:from>
        <xdr:to>
          <xdr:col>6</xdr:col>
          <xdr:colOff>311150</xdr:colOff>
          <xdr:row>9</xdr:row>
          <xdr:rowOff>76200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EPS EXTRACT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DA667-9835-460E-913F-A715D76178BB}">
  <sheetPr codeName="Sheet1"/>
  <dimension ref="A1:XFC40"/>
  <sheetViews>
    <sheetView tabSelected="1" workbookViewId="0">
      <selection activeCell="G6" sqref="G6"/>
    </sheetView>
  </sheetViews>
  <sheetFormatPr defaultColWidth="0" defaultRowHeight="14.5" customHeight="1" zeroHeight="1" x14ac:dyDescent="0.35"/>
  <cols>
    <col min="1" max="1" width="8.7265625" style="21" customWidth="1"/>
    <col min="2" max="2" width="13.36328125" style="21" customWidth="1"/>
    <col min="3" max="3" width="11.08984375" style="21" bestFit="1" customWidth="1"/>
    <col min="4" max="4" width="12" style="21" customWidth="1"/>
    <col min="5" max="5" width="9.08984375" style="21" bestFit="1" customWidth="1"/>
    <col min="6" max="6" width="11.08984375" style="21" bestFit="1" customWidth="1"/>
    <col min="7" max="7" width="8.7265625" style="21" customWidth="1"/>
    <col min="8" max="9" width="11.26953125" style="21" bestFit="1" customWidth="1"/>
    <col min="10" max="10" width="8.81640625" style="21" customWidth="1"/>
    <col min="11" max="16383" width="8.7265625" style="21" hidden="1"/>
    <col min="16384" max="16384" width="5.453125" style="21" hidden="1"/>
  </cols>
  <sheetData>
    <row r="1" spans="2:8" x14ac:dyDescent="0.35"/>
    <row r="2" spans="2:8" x14ac:dyDescent="0.35">
      <c r="C2" s="25" t="s">
        <v>25</v>
      </c>
      <c r="D2" s="25"/>
      <c r="E2" s="25"/>
      <c r="F2" s="25"/>
      <c r="G2" s="25"/>
      <c r="H2" s="25"/>
    </row>
    <row r="3" spans="2:8" x14ac:dyDescent="0.35">
      <c r="C3" s="25"/>
      <c r="D3" s="25"/>
      <c r="E3" s="25"/>
      <c r="F3" s="25"/>
      <c r="G3" s="25"/>
      <c r="H3" s="25"/>
    </row>
    <row r="4" spans="2:8" x14ac:dyDescent="0.35"/>
    <row r="5" spans="2:8" x14ac:dyDescent="0.35"/>
    <row r="6" spans="2:8" x14ac:dyDescent="0.35"/>
    <row r="7" spans="2:8" x14ac:dyDescent="0.35"/>
    <row r="8" spans="2:8" x14ac:dyDescent="0.35"/>
    <row r="9" spans="2:8" x14ac:dyDescent="0.35"/>
    <row r="10" spans="2:8" x14ac:dyDescent="0.35"/>
    <row r="11" spans="2:8" x14ac:dyDescent="0.35"/>
    <row r="12" spans="2:8" x14ac:dyDescent="0.35">
      <c r="B12" s="22" t="s">
        <v>26</v>
      </c>
      <c r="C12" s="23">
        <v>0.44078703703703703</v>
      </c>
      <c r="G12" s="22" t="s">
        <v>27</v>
      </c>
      <c r="H12" s="23">
        <v>0.48585648148148147</v>
      </c>
    </row>
    <row r="13" spans="2:8" x14ac:dyDescent="0.35">
      <c r="C13" s="24"/>
    </row>
    <row r="14" spans="2:8" x14ac:dyDescent="0.35"/>
    <row r="15" spans="2:8" x14ac:dyDescent="0.35"/>
    <row r="16" spans="2:8" x14ac:dyDescent="0.35"/>
    <row r="17" s="21" customFormat="1" hidden="1" x14ac:dyDescent="0.35"/>
    <row r="18" s="21" customFormat="1" hidden="1" x14ac:dyDescent="0.35"/>
    <row r="19" s="21" customFormat="1" hidden="1" x14ac:dyDescent="0.35"/>
    <row r="20" s="21" customFormat="1" hidden="1" x14ac:dyDescent="0.35"/>
    <row r="21" s="21" customFormat="1" hidden="1" x14ac:dyDescent="0.35"/>
    <row r="22" s="21" customFormat="1" hidden="1" x14ac:dyDescent="0.35"/>
    <row r="23" s="21" customFormat="1" hidden="1" x14ac:dyDescent="0.35"/>
    <row r="24" s="21" customFormat="1" hidden="1" x14ac:dyDescent="0.35"/>
    <row r="25" s="21" customFormat="1" hidden="1" x14ac:dyDescent="0.35"/>
    <row r="26" s="21" customFormat="1" hidden="1" x14ac:dyDescent="0.35"/>
    <row r="27" s="21" customFormat="1" hidden="1" x14ac:dyDescent="0.35"/>
    <row r="28" s="21" customFormat="1" hidden="1" x14ac:dyDescent="0.35"/>
    <row r="29" s="21" customFormat="1" hidden="1" x14ac:dyDescent="0.35"/>
    <row r="30" s="21" customFormat="1" hidden="1" x14ac:dyDescent="0.35"/>
    <row r="31" s="21" customFormat="1" hidden="1" x14ac:dyDescent="0.35"/>
    <row r="32" s="21" customFormat="1" hidden="1" x14ac:dyDescent="0.35"/>
    <row r="33" s="21" customFormat="1" hidden="1" x14ac:dyDescent="0.35"/>
    <row r="34" s="21" customFormat="1" hidden="1" x14ac:dyDescent="0.35"/>
    <row r="35" s="21" customFormat="1" hidden="1" x14ac:dyDescent="0.35"/>
    <row r="36" s="21" customFormat="1" hidden="1" x14ac:dyDescent="0.35"/>
    <row r="37" s="21" customFormat="1" hidden="1" x14ac:dyDescent="0.35"/>
    <row r="38" s="21" customFormat="1" hidden="1" x14ac:dyDescent="0.35"/>
    <row r="39" s="21" customFormat="1" hidden="1" x14ac:dyDescent="0.35"/>
    <row r="40" s="21" customFormat="1" hidden="1" x14ac:dyDescent="0.35"/>
  </sheetData>
  <mergeCells count="1">
    <mergeCell ref="C2:H3"/>
  </mergeCells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Driver">
                <anchor moveWithCells="1" sizeWithCells="1">
                  <from>
                    <xdr:col>0</xdr:col>
                    <xdr:colOff>342900</xdr:colOff>
                    <xdr:row>8</xdr:row>
                    <xdr:rowOff>6350</xdr:rowOff>
                  </from>
                  <to>
                    <xdr:col>2</xdr:col>
                    <xdr:colOff>95250</xdr:colOff>
                    <xdr:row>9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ummarySheet">
                <anchor moveWithCells="1" sizeWithCells="1">
                  <from>
                    <xdr:col>2</xdr:col>
                    <xdr:colOff>304800</xdr:colOff>
                    <xdr:row>8</xdr:row>
                    <xdr:rowOff>0</xdr:rowOff>
                  </from>
                  <to>
                    <xdr:col>4</xdr:col>
                    <xdr:colOff>57150</xdr:colOff>
                    <xdr:row>9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DTVCOMPExtractSheet">
                <anchor moveWithCells="1" sizeWithCells="1">
                  <from>
                    <xdr:col>6</xdr:col>
                    <xdr:colOff>520700</xdr:colOff>
                    <xdr:row>7</xdr:row>
                    <xdr:rowOff>171450</xdr:rowOff>
                  </from>
                  <to>
                    <xdr:col>8</xdr:col>
                    <xdr:colOff>590550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EPSExtractSheet">
                <anchor moveWithCells="1" sizeWithCells="1">
                  <from>
                    <xdr:col>4</xdr:col>
                    <xdr:colOff>241300</xdr:colOff>
                    <xdr:row>7</xdr:row>
                    <xdr:rowOff>177800</xdr:rowOff>
                  </from>
                  <to>
                    <xdr:col>6</xdr:col>
                    <xdr:colOff>311150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1F19A-BD2C-4E55-9B38-73FF6B63B89D}">
  <sheetPr codeName="Sheet2"/>
  <dimension ref="A1:R21"/>
  <sheetViews>
    <sheetView zoomScale="80" zoomScaleNormal="80" workbookViewId="0">
      <selection activeCell="F9" sqref="F9"/>
    </sheetView>
  </sheetViews>
  <sheetFormatPr defaultColWidth="0" defaultRowHeight="14.5" x14ac:dyDescent="0.35"/>
  <cols>
    <col min="1" max="1" width="8.7265625" customWidth="1"/>
    <col min="2" max="2" width="72.1796875" bestFit="1" customWidth="1"/>
    <col min="3" max="3" width="31.81640625" bestFit="1" customWidth="1"/>
    <col min="4" max="4" width="66.1796875" bestFit="1" customWidth="1"/>
    <col min="5" max="5" width="11.54296875" bestFit="1" customWidth="1"/>
    <col min="6" max="6" width="23.81640625" bestFit="1" customWidth="1"/>
    <col min="7" max="7" width="30" bestFit="1" customWidth="1"/>
    <col min="8" max="8" width="10" customWidth="1"/>
    <col min="9" max="15" width="8.7265625" hidden="1" customWidth="1"/>
    <col min="16" max="16" width="25.453125" hidden="1" customWidth="1"/>
    <col min="17" max="17" width="31.81640625" hidden="1" customWidth="1"/>
    <col min="18" max="18" width="12" hidden="1" customWidth="1"/>
    <col min="19" max="16384" width="8.7265625" hidden="1"/>
  </cols>
  <sheetData>
    <row r="1" spans="2:6" x14ac:dyDescent="0.35">
      <c r="B1" s="26" t="s">
        <v>0</v>
      </c>
      <c r="C1" s="26"/>
      <c r="D1" s="26"/>
    </row>
    <row r="2" spans="2:6" x14ac:dyDescent="0.35">
      <c r="B2" s="1" t="s">
        <v>1</v>
      </c>
      <c r="C2" s="1" t="s">
        <v>2</v>
      </c>
      <c r="D2" s="2" t="s">
        <v>3</v>
      </c>
    </row>
    <row r="3" spans="2:6" x14ac:dyDescent="0.35">
      <c r="B3" s="3" t="s">
        <v>4</v>
      </c>
      <c r="C3" s="4">
        <v>91260</v>
      </c>
      <c r="D3" s="5"/>
    </row>
    <row r="4" spans="2:6" x14ac:dyDescent="0.35">
      <c r="B4" s="3" t="s">
        <v>5</v>
      </c>
      <c r="C4" s="4">
        <v>188231</v>
      </c>
      <c r="D4" s="5"/>
    </row>
    <row r="5" spans="2:6" x14ac:dyDescent="0.35">
      <c r="B5" s="3" t="s">
        <v>6</v>
      </c>
      <c r="C5" s="4"/>
      <c r="D5" s="5" t="s">
        <v>7</v>
      </c>
    </row>
    <row r="6" spans="2:6" ht="33.75" customHeight="1" x14ac:dyDescent="0.35">
      <c r="B6" s="3" t="s">
        <v>8</v>
      </c>
      <c r="C6" s="4"/>
      <c r="D6" s="27" t="s">
        <v>9</v>
      </c>
    </row>
    <row r="7" spans="2:6" ht="29" x14ac:dyDescent="0.35">
      <c r="B7" s="6" t="s">
        <v>10</v>
      </c>
      <c r="C7" s="4">
        <f>C4-C3</f>
        <v>96971</v>
      </c>
      <c r="D7" s="28"/>
    </row>
    <row r="9" spans="2:6" x14ac:dyDescent="0.35">
      <c r="B9" s="29" t="s">
        <v>11</v>
      </c>
      <c r="C9" s="29"/>
      <c r="D9" s="29"/>
    </row>
    <row r="10" spans="2:6" x14ac:dyDescent="0.35">
      <c r="B10" s="7" t="s">
        <v>12</v>
      </c>
      <c r="C10" s="7" t="s">
        <v>13</v>
      </c>
      <c r="D10" s="8" t="s">
        <v>14</v>
      </c>
    </row>
    <row r="11" spans="2:6" x14ac:dyDescent="0.35">
      <c r="B11" s="9">
        <v>1855294</v>
      </c>
      <c r="C11" s="9">
        <v>1811015.9679</v>
      </c>
      <c r="D11" s="9">
        <f>B11-C11</f>
        <v>44278.032099999953</v>
      </c>
    </row>
    <row r="12" spans="2:6" x14ac:dyDescent="0.35">
      <c r="D12" s="10"/>
      <c r="F12" s="11"/>
    </row>
    <row r="13" spans="2:6" x14ac:dyDescent="0.35">
      <c r="B13" s="29" t="s">
        <v>15</v>
      </c>
      <c r="C13" s="29"/>
      <c r="D13" s="29"/>
    </row>
    <row r="14" spans="2:6" x14ac:dyDescent="0.35">
      <c r="B14" s="12" t="s">
        <v>16</v>
      </c>
      <c r="C14" s="12" t="s">
        <v>17</v>
      </c>
      <c r="D14" s="8" t="s">
        <v>14</v>
      </c>
    </row>
    <row r="15" spans="2:6" x14ac:dyDescent="0.35">
      <c r="B15" s="13">
        <v>283157</v>
      </c>
      <c r="C15" s="13">
        <v>181388</v>
      </c>
      <c r="D15" s="14">
        <v>101769</v>
      </c>
    </row>
    <row r="16" spans="2:6" x14ac:dyDescent="0.35">
      <c r="B16" t="s">
        <v>18</v>
      </c>
    </row>
    <row r="17" spans="2:16" x14ac:dyDescent="0.35">
      <c r="B17" s="15" t="s">
        <v>19</v>
      </c>
      <c r="C17" s="15" t="s">
        <v>20</v>
      </c>
      <c r="D17" s="8" t="s">
        <v>14</v>
      </c>
      <c r="P17" s="16"/>
    </row>
    <row r="18" spans="2:16" x14ac:dyDescent="0.35">
      <c r="B18" s="9">
        <v>2969525.3800038015</v>
      </c>
      <c r="C18" s="9">
        <v>3922260.7800019081</v>
      </c>
      <c r="D18" s="9">
        <v>-952735.39999810653</v>
      </c>
    </row>
    <row r="20" spans="2:16" x14ac:dyDescent="0.35">
      <c r="B20" s="7" t="s">
        <v>12</v>
      </c>
      <c r="C20" s="7" t="s">
        <v>13</v>
      </c>
      <c r="D20" s="8" t="s">
        <v>14</v>
      </c>
    </row>
    <row r="21" spans="2:16" x14ac:dyDescent="0.35">
      <c r="B21" s="9">
        <v>762161.52319995034</v>
      </c>
      <c r="C21" s="9">
        <v>741869.80209995178</v>
      </c>
      <c r="D21" s="9">
        <v>20291.721099998569</v>
      </c>
    </row>
  </sheetData>
  <mergeCells count="4">
    <mergeCell ref="B1:D1"/>
    <mergeCell ref="D6:D7"/>
    <mergeCell ref="B9:D9"/>
    <mergeCell ref="B13:D1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64950-B54A-4CB9-82CE-E60008FE5059}">
  <sheetPr codeName="Sheet3"/>
  <dimension ref="A1"/>
  <sheetViews>
    <sheetView workbookViewId="0">
      <selection activeCell="I14" sqref="I14"/>
    </sheetView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BEE28-1504-4F4C-8817-6284051FFC38}">
  <sheetPr codeName="Sheet4"/>
  <dimension ref="A1"/>
  <sheetViews>
    <sheetView workbookViewId="0">
      <selection activeCell="J14" sqref="J14"/>
    </sheetView>
  </sheetViews>
  <sheetFormatPr defaultRowHeight="14.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F54E4-A9CC-4070-B80C-CB8D065A12DA}">
  <sheetPr codeName="Sheet5"/>
  <dimension ref="A1"/>
  <sheetViews>
    <sheetView workbookViewId="0">
      <selection activeCell="L16" sqref="L16"/>
    </sheetView>
  </sheetViews>
  <sheetFormatPr defaultRowHeight="14.5" x14ac:dyDescent="0.3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97312-8B9F-46CD-86A3-8495A2176116}">
  <sheetPr codeName="Sheet6"/>
  <dimension ref="B2:D3"/>
  <sheetViews>
    <sheetView workbookViewId="0">
      <selection activeCell="B3" sqref="B3"/>
    </sheetView>
  </sheetViews>
  <sheetFormatPr defaultRowHeight="14.5" x14ac:dyDescent="0.35"/>
  <cols>
    <col min="1" max="1" width="8.7265625" style="18"/>
    <col min="2" max="2" width="78.1796875" style="18" customWidth="1"/>
    <col min="3" max="3" width="8.7265625" style="18"/>
    <col min="4" max="4" width="71.90625" style="18" customWidth="1"/>
    <col min="5" max="16384" width="8.7265625" style="18"/>
  </cols>
  <sheetData>
    <row r="2" spans="2:4" x14ac:dyDescent="0.35">
      <c r="B2" s="17" t="s">
        <v>21</v>
      </c>
      <c r="D2" s="17" t="s">
        <v>22</v>
      </c>
    </row>
    <row r="3" spans="2:4" ht="246.5" x14ac:dyDescent="0.35">
      <c r="B3" s="19" t="s">
        <v>23</v>
      </c>
      <c r="D3" s="20" t="s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COMPARISON TOOL</vt:lpstr>
      <vt:lpstr>SUMMARY SHEET</vt:lpstr>
      <vt:lpstr>EPS EXTRACT</vt:lpstr>
      <vt:lpstr>DTVCOMP EXTRACT</vt:lpstr>
      <vt:lpstr>COMPARISON HIGH LEVEL</vt:lpstr>
      <vt:lpstr>DATA FETCH QUERY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Bhattacharjee, Arijit</dc:creator>
  <cp:lastModifiedBy>Bhattacharjee, Arijit</cp:lastModifiedBy>
  <dcterms:created xsi:type="dcterms:W3CDTF">2023-05-31T08:46:57Z</dcterms:created>
  <dcterms:modified xsi:type="dcterms:W3CDTF">2023-06-05T17:27:52Z</dcterms:modified>
</cp:coreProperties>
</file>